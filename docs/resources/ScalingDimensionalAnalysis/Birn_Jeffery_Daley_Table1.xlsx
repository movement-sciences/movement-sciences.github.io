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cM/U/0WU6g3rZ+g3coz3m7ZMZTj6DFwfLWOFmVOZ24="/>
    </ext>
  </extLst>
</workbook>
</file>

<file path=xl/sharedStrings.xml><?xml version="1.0" encoding="utf-8"?>
<sst xmlns="http://schemas.openxmlformats.org/spreadsheetml/2006/main" count="143" uniqueCount="96">
  <si>
    <t>Author</t>
  </si>
  <si>
    <t>Year</t>
  </si>
  <si>
    <t>CommonName</t>
  </si>
  <si>
    <t>Species</t>
  </si>
  <si>
    <t>Classification</t>
  </si>
  <si>
    <t>id</t>
  </si>
  <si>
    <t>body mass (kg)</t>
  </si>
  <si>
    <t>Hip height (m)</t>
  </si>
  <si>
    <t>Femur (m)</t>
  </si>
  <si>
    <t>tbt (m)</t>
  </si>
  <si>
    <t>tmt (m)</t>
  </si>
  <si>
    <t>foot (m)</t>
  </si>
  <si>
    <t>Vmax</t>
  </si>
  <si>
    <t>Gatesy &amp; Biewener</t>
  </si>
  <si>
    <t>painted quail</t>
  </si>
  <si>
    <t>Excalfactoria chinensis</t>
  </si>
  <si>
    <t>galliformes</t>
  </si>
  <si>
    <t>pq</t>
  </si>
  <si>
    <t>Abourachid</t>
  </si>
  <si>
    <t>common quail</t>
  </si>
  <si>
    <t>Coturnix coturnix</t>
  </si>
  <si>
    <t>qu</t>
  </si>
  <si>
    <t>Kilbourne</t>
  </si>
  <si>
    <t>Northern lapwing</t>
  </si>
  <si>
    <t>Vanellus vanellus</t>
  </si>
  <si>
    <t>charadriiformes</t>
  </si>
  <si>
    <t>lw</t>
  </si>
  <si>
    <t xml:space="preserve">Birn-Jeffery et al. </t>
  </si>
  <si>
    <t>bobwhite</t>
  </si>
  <si>
    <t>Colinus virginianus</t>
  </si>
  <si>
    <t>bw</t>
  </si>
  <si>
    <t>Verstappen</t>
  </si>
  <si>
    <t>magpie</t>
  </si>
  <si>
    <t>Pica pica</t>
  </si>
  <si>
    <t>passeriformes</t>
  </si>
  <si>
    <t>mp</t>
  </si>
  <si>
    <t>pied avocet</t>
  </si>
  <si>
    <t>Recurvirostra avosetta</t>
  </si>
  <si>
    <t>av</t>
  </si>
  <si>
    <t>Eurasian oystercatcher</t>
  </si>
  <si>
    <t>Haematopus ostralegus</t>
  </si>
  <si>
    <t>oy</t>
  </si>
  <si>
    <t>Abourachid et al.</t>
  </si>
  <si>
    <t>brown tinamou</t>
  </si>
  <si>
    <t>Crypturellus obsoletus</t>
  </si>
  <si>
    <t>tinaniformes</t>
  </si>
  <si>
    <t>bt</t>
  </si>
  <si>
    <t>Nudds</t>
  </si>
  <si>
    <t>Svalbard rockptarmigan</t>
  </si>
  <si>
    <t>Lagopus muta hyperborea</t>
  </si>
  <si>
    <t>rp</t>
  </si>
  <si>
    <t>Hancock</t>
  </si>
  <si>
    <t>elegant crested tinamou</t>
  </si>
  <si>
    <t>Eudromia elegans</t>
  </si>
  <si>
    <t>et</t>
  </si>
  <si>
    <t>red-wing tinamou</t>
  </si>
  <si>
    <t>Rhynchotus rusfescens</t>
  </si>
  <si>
    <t>rt</t>
  </si>
  <si>
    <t>common pheasant</t>
  </si>
  <si>
    <t>Phasianus colchicus</t>
  </si>
  <si>
    <t>ph</t>
  </si>
  <si>
    <t>black-legged seriema</t>
  </si>
  <si>
    <t>Chunga burmeisteri</t>
  </si>
  <si>
    <t>cariamiformes</t>
  </si>
  <si>
    <t>bs</t>
  </si>
  <si>
    <t>guinea fowl</t>
  </si>
  <si>
    <t>Numida meleagris</t>
  </si>
  <si>
    <t>gf</t>
  </si>
  <si>
    <t>red-legged seriema</t>
  </si>
  <si>
    <t>Cariama cristata</t>
  </si>
  <si>
    <t>rs</t>
  </si>
  <si>
    <t>Usherwood</t>
  </si>
  <si>
    <t>mallard duck</t>
  </si>
  <si>
    <t>Anas platyrhynchos</t>
  </si>
  <si>
    <t>anseriformes</t>
  </si>
  <si>
    <t>ma</t>
  </si>
  <si>
    <t>wild turkey</t>
  </si>
  <si>
    <t>Meleagris gallopavo</t>
  </si>
  <si>
    <t>wt</t>
  </si>
  <si>
    <t>VanCoppenolle</t>
  </si>
  <si>
    <t>white stork</t>
  </si>
  <si>
    <t>Ciconia ciconia</t>
  </si>
  <si>
    <t>ciconiiformes</t>
  </si>
  <si>
    <t>ws</t>
  </si>
  <si>
    <t>rhea</t>
  </si>
  <si>
    <t>Rhea americana</t>
  </si>
  <si>
    <t>ratites</t>
  </si>
  <si>
    <t>rh</t>
  </si>
  <si>
    <t>Abourachid and Renous</t>
  </si>
  <si>
    <t>emu</t>
  </si>
  <si>
    <t>Dromaius novaehollandiae</t>
  </si>
  <si>
    <t>em</t>
  </si>
  <si>
    <t>ostrich</t>
  </si>
  <si>
    <t>Struthio camelus</t>
  </si>
  <si>
    <t>os</t>
  </si>
  <si>
    <t>Daley et 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</si>
</sst>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5">
    <font>
      <sz val="12.0"/>
      <color theme="1"/>
      <name val="Calibri"/>
      <scheme val="minor"/>
    </font>
    <font>
      <b/>
      <sz val="8.0"/>
      <color theme="1"/>
      <name val="Calibri"/>
    </font>
    <font>
      <sz val="8.0"/>
      <color theme="1"/>
      <name val="Calibri"/>
    </font>
    <font>
      <i/>
      <sz val="8.0"/>
      <color theme="1"/>
      <name val="Calibri"/>
    </font>
    <font>
      <sz val="8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shrinkToFit="0" wrapText="1"/>
    </xf>
    <xf borderId="1" fillId="0" fontId="2" numFmtId="0" xfId="0" applyBorder="1" applyFont="1"/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2" numFmtId="164" xfId="0" applyFont="1" applyNumberFormat="1"/>
    <xf borderId="0" fillId="0" fontId="2" numFmtId="2" xfId="0" applyFont="1" applyNumberFormat="1"/>
    <xf borderId="0" fillId="0" fontId="4" numFmtId="164" xfId="0" applyFont="1" applyNumberFormat="1"/>
    <xf borderId="0" fillId="0" fontId="2" numFmtId="2" xfId="0" applyAlignment="1" applyFont="1" applyNumberFormat="1">
      <alignment shrinkToFit="0" wrapText="1"/>
    </xf>
    <xf borderId="0" fillId="0" fontId="2" numFmtId="165" xfId="0" applyAlignment="1" applyFont="1" applyNumberFormat="1">
      <alignment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0" fontId="2" numFmtId="165" xfId="0" applyAlignment="1" applyBorder="1" applyFont="1" applyNumberFormat="1">
      <alignment shrinkToFit="0" wrapText="1"/>
    </xf>
    <xf borderId="1" fillId="0" fontId="2" numFmtId="164" xfId="0" applyAlignment="1" applyBorder="1" applyFont="1" applyNumberFormat="1">
      <alignment shrinkToFit="0" wrapText="1"/>
    </xf>
    <xf borderId="1" fillId="0" fontId="2" numFmtId="164" xfId="0" applyBorder="1" applyFont="1" applyNumberFormat="1"/>
    <xf borderId="1" fillId="0" fontId="2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44"/>
    <col customWidth="1" min="2" max="2" width="8.11"/>
    <col customWidth="1" min="3" max="3" width="14.0"/>
    <col customWidth="1" min="4" max="4" width="15.33"/>
    <col customWidth="1" min="5" max="5" width="10.0"/>
    <col customWidth="1" min="6" max="6" width="3.33"/>
    <col customWidth="1" min="7" max="7" width="5.78"/>
    <col customWidth="1" min="8" max="8" width="6.44"/>
    <col customWidth="1" min="9" max="9" width="8.67"/>
    <col customWidth="1" min="10" max="10" width="6.44"/>
    <col customWidth="1" min="11" max="11" width="7.11"/>
    <col customWidth="1" min="12" max="12" width="6.78"/>
    <col customWidth="1" min="13" max="13" width="5.33"/>
    <col customWidth="1" min="14" max="26" width="10.56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3" t="s">
        <v>13</v>
      </c>
      <c r="B2" s="3">
        <v>1991.0</v>
      </c>
      <c r="C2" s="4" t="s">
        <v>14</v>
      </c>
      <c r="D2" s="5" t="s">
        <v>15</v>
      </c>
      <c r="E2" s="4" t="s">
        <v>16</v>
      </c>
      <c r="F2" s="4" t="s">
        <v>17</v>
      </c>
      <c r="G2" s="6">
        <v>0.045</v>
      </c>
      <c r="H2" s="6">
        <v>0.052</v>
      </c>
      <c r="I2" s="7">
        <v>0.026</v>
      </c>
      <c r="J2" s="7">
        <v>0.031</v>
      </c>
      <c r="K2" s="7">
        <v>0.019</v>
      </c>
      <c r="L2" s="7">
        <v>0.019</v>
      </c>
      <c r="M2" s="8">
        <v>1.87386033107389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0.5" customHeight="1">
      <c r="A3" s="3" t="s">
        <v>18</v>
      </c>
      <c r="B3" s="3">
        <v>2001.0</v>
      </c>
      <c r="C3" s="4" t="s">
        <v>19</v>
      </c>
      <c r="D3" s="5" t="s">
        <v>20</v>
      </c>
      <c r="E3" s="4" t="s">
        <v>16</v>
      </c>
      <c r="F3" s="4" t="s">
        <v>21</v>
      </c>
      <c r="G3" s="6">
        <v>0.15</v>
      </c>
      <c r="H3" s="6">
        <v>0.06</v>
      </c>
      <c r="I3" s="7">
        <v>0.04141548915846136</v>
      </c>
      <c r="J3" s="7">
        <v>0.05337542608852674</v>
      </c>
      <c r="K3" s="7">
        <v>0.03289488458196612</v>
      </c>
      <c r="L3" s="7">
        <v>0.03307956924695453</v>
      </c>
      <c r="M3" s="8">
        <v>0.767805870759085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0.5" customHeight="1">
      <c r="A4" s="3" t="s">
        <v>22</v>
      </c>
      <c r="B4" s="3">
        <v>2016.0</v>
      </c>
      <c r="C4" s="4" t="s">
        <v>23</v>
      </c>
      <c r="D4" s="5" t="s">
        <v>24</v>
      </c>
      <c r="E4" s="4" t="s">
        <v>25</v>
      </c>
      <c r="F4" s="4" t="s">
        <v>26</v>
      </c>
      <c r="G4" s="6">
        <v>0.17</v>
      </c>
      <c r="H4" s="6">
        <v>0.135</v>
      </c>
      <c r="I4" s="7">
        <v>0.0357</v>
      </c>
      <c r="J4" s="7">
        <v>0.0671</v>
      </c>
      <c r="K4" s="7">
        <v>0.0491</v>
      </c>
      <c r="L4" s="7">
        <f>(5.9*(M4^0.305))/100</f>
        <v>0.07058871759</v>
      </c>
      <c r="M4" s="8">
        <v>1.80034201799837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0.5" customHeight="1">
      <c r="A5" s="3" t="s">
        <v>27</v>
      </c>
      <c r="B5" s="3">
        <v>2014.0</v>
      </c>
      <c r="C5" s="4" t="s">
        <v>28</v>
      </c>
      <c r="D5" s="5" t="s">
        <v>29</v>
      </c>
      <c r="E5" s="4" t="s">
        <v>16</v>
      </c>
      <c r="F5" s="4" t="s">
        <v>30</v>
      </c>
      <c r="G5" s="6">
        <v>0.18635000000000002</v>
      </c>
      <c r="H5" s="6">
        <v>0.085</v>
      </c>
      <c r="I5" s="7">
        <v>0.04778571428571428</v>
      </c>
      <c r="J5" s="7">
        <v>0.05814285714285715</v>
      </c>
      <c r="K5" s="7">
        <v>0.03482142857142857</v>
      </c>
      <c r="L5" s="7">
        <v>0.03214285714285714</v>
      </c>
      <c r="M5" s="8">
        <v>2.13215431799468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0.5" customHeight="1">
      <c r="A6" s="3" t="s">
        <v>31</v>
      </c>
      <c r="B6" s="3">
        <v>2000.0</v>
      </c>
      <c r="C6" s="4" t="s">
        <v>32</v>
      </c>
      <c r="D6" s="5" t="s">
        <v>33</v>
      </c>
      <c r="E6" s="4" t="s">
        <v>34</v>
      </c>
      <c r="F6" s="4" t="s">
        <v>35</v>
      </c>
      <c r="G6" s="6">
        <v>0.24</v>
      </c>
      <c r="H6" s="6">
        <v>0.15</v>
      </c>
      <c r="I6" s="9">
        <v>0.042573333</v>
      </c>
      <c r="J6" s="9">
        <v>0.06866</v>
      </c>
      <c r="K6" s="7">
        <v>0.046</v>
      </c>
      <c r="L6" s="7">
        <f t="shared" ref="L6:L9" si="1">(5.9*(M6^0.305))/100</f>
        <v>0.07019677062</v>
      </c>
      <c r="M6" s="8">
        <v>1.76777353327336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0.5" customHeight="1">
      <c r="A7" s="3" t="s">
        <v>22</v>
      </c>
      <c r="B7" s="3">
        <v>2016.0</v>
      </c>
      <c r="C7" s="4" t="s">
        <v>36</v>
      </c>
      <c r="D7" s="5" t="s">
        <v>37</v>
      </c>
      <c r="E7" s="4" t="s">
        <v>25</v>
      </c>
      <c r="F7" s="4" t="s">
        <v>38</v>
      </c>
      <c r="G7" s="6">
        <v>0.334</v>
      </c>
      <c r="H7" s="6">
        <v>0.154</v>
      </c>
      <c r="I7" s="7">
        <v>0.0369</v>
      </c>
      <c r="J7" s="7">
        <v>0.1047</v>
      </c>
      <c r="K7" s="7">
        <v>0.0841</v>
      </c>
      <c r="L7" s="7">
        <f t="shared" si="1"/>
        <v>0.06092749712</v>
      </c>
      <c r="M7" s="8">
        <v>1.11115549938079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0.5" customHeight="1">
      <c r="A8" s="3" t="s">
        <v>22</v>
      </c>
      <c r="B8" s="3">
        <v>2016.0</v>
      </c>
      <c r="C8" s="4" t="s">
        <v>39</v>
      </c>
      <c r="D8" s="5" t="s">
        <v>40</v>
      </c>
      <c r="E8" s="4" t="s">
        <v>25</v>
      </c>
      <c r="F8" s="4" t="s">
        <v>41</v>
      </c>
      <c r="G8" s="6">
        <v>0.457</v>
      </c>
      <c r="H8" s="6">
        <v>0.1263</v>
      </c>
      <c r="I8" s="7">
        <v>0.0443</v>
      </c>
      <c r="J8" s="7">
        <v>0.0794</v>
      </c>
      <c r="K8" s="7">
        <v>0.0498</v>
      </c>
      <c r="L8" s="7">
        <f t="shared" si="1"/>
        <v>0.07113605913</v>
      </c>
      <c r="M8" s="8">
        <v>1.84651742833824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0.5" customHeight="1">
      <c r="A9" s="3" t="s">
        <v>42</v>
      </c>
      <c r="B9" s="3">
        <v>2005.0</v>
      </c>
      <c r="C9" s="4" t="s">
        <v>43</v>
      </c>
      <c r="D9" s="5" t="s">
        <v>44</v>
      </c>
      <c r="E9" s="4" t="s">
        <v>45</v>
      </c>
      <c r="F9" s="4" t="s">
        <v>46</v>
      </c>
      <c r="G9" s="6">
        <v>0.5</v>
      </c>
      <c r="H9" s="6">
        <v>0.14</v>
      </c>
      <c r="I9" s="7">
        <v>0.05290600000000002</v>
      </c>
      <c r="J9" s="7">
        <v>0.07475799999999999</v>
      </c>
      <c r="K9" s="7">
        <v>0.049934</v>
      </c>
      <c r="L9" s="7">
        <f t="shared" si="1"/>
        <v>0.06917186864</v>
      </c>
      <c r="M9" s="8">
        <v>1.68454879256899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0.5" customHeight="1">
      <c r="A10" s="3" t="s">
        <v>47</v>
      </c>
      <c r="B10" s="3">
        <v>2011.0</v>
      </c>
      <c r="C10" s="4" t="s">
        <v>48</v>
      </c>
      <c r="D10" s="5" t="s">
        <v>49</v>
      </c>
      <c r="E10" s="4" t="s">
        <v>16</v>
      </c>
      <c r="F10" s="4" t="s">
        <v>50</v>
      </c>
      <c r="G10" s="6">
        <v>0.501</v>
      </c>
      <c r="H10" s="6">
        <v>0.11977526828516419</v>
      </c>
      <c r="I10" s="7">
        <v>0.0585</v>
      </c>
      <c r="J10" s="7">
        <v>0.0795</v>
      </c>
      <c r="K10" s="7">
        <v>0.0412</v>
      </c>
      <c r="L10" s="7">
        <v>0.047786202377899906</v>
      </c>
      <c r="M10" s="8">
        <v>1.50770075959409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 t="s">
        <v>51</v>
      </c>
      <c r="B11" s="3">
        <v>2007.0</v>
      </c>
      <c r="C11" s="4" t="s">
        <v>52</v>
      </c>
      <c r="D11" s="5" t="s">
        <v>53</v>
      </c>
      <c r="E11" s="4" t="s">
        <v>45</v>
      </c>
      <c r="F11" s="4" t="s">
        <v>54</v>
      </c>
      <c r="G11" s="6">
        <v>0.744</v>
      </c>
      <c r="H11" s="6">
        <v>0.17</v>
      </c>
      <c r="I11" s="7">
        <v>0.056</v>
      </c>
      <c r="J11" s="7">
        <v>0.077</v>
      </c>
      <c r="K11" s="7">
        <v>0.0466</v>
      </c>
      <c r="L11" s="7">
        <f t="shared" ref="L11:L12" si="2">(5.9*(M11^0.305))/100</f>
        <v>0.07354420123</v>
      </c>
      <c r="M11" s="8">
        <v>2.05948563215244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0.5" customHeight="1">
      <c r="A12" s="3" t="s">
        <v>42</v>
      </c>
      <c r="B12" s="3">
        <v>2005.0</v>
      </c>
      <c r="C12" s="4" t="s">
        <v>55</v>
      </c>
      <c r="D12" s="5" t="s">
        <v>56</v>
      </c>
      <c r="E12" s="4" t="s">
        <v>45</v>
      </c>
      <c r="F12" s="4" t="s">
        <v>57</v>
      </c>
      <c r="G12" s="6">
        <v>0.8</v>
      </c>
      <c r="H12" s="6">
        <v>0.17</v>
      </c>
      <c r="I12" s="7">
        <v>0.068201</v>
      </c>
      <c r="J12" s="7">
        <v>0.091886</v>
      </c>
      <c r="K12" s="7">
        <v>0.05925</v>
      </c>
      <c r="L12" s="7">
        <f t="shared" si="2"/>
        <v>0.06990569988</v>
      </c>
      <c r="M12" s="8">
        <v>1.74385385970978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0.5" customHeight="1">
      <c r="A13" s="3" t="s">
        <v>27</v>
      </c>
      <c r="B13" s="3">
        <v>2014.0</v>
      </c>
      <c r="C13" s="4" t="s">
        <v>58</v>
      </c>
      <c r="D13" s="5" t="s">
        <v>59</v>
      </c>
      <c r="E13" s="4" t="s">
        <v>16</v>
      </c>
      <c r="F13" s="4" t="s">
        <v>60</v>
      </c>
      <c r="G13" s="10">
        <v>1.03</v>
      </c>
      <c r="H13" s="6">
        <v>0.19</v>
      </c>
      <c r="I13" s="7">
        <v>0.0795</v>
      </c>
      <c r="J13" s="7">
        <v>0.107875</v>
      </c>
      <c r="K13" s="7">
        <v>0.06937499999999999</v>
      </c>
      <c r="L13" s="7">
        <v>0.053125</v>
      </c>
      <c r="M13" s="8">
        <v>2.29671868078722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0.5" customHeight="1">
      <c r="A14" s="3" t="s">
        <v>42</v>
      </c>
      <c r="B14" s="3">
        <v>2005.0</v>
      </c>
      <c r="C14" s="4" t="s">
        <v>61</v>
      </c>
      <c r="D14" s="5" t="s">
        <v>62</v>
      </c>
      <c r="E14" s="4" t="s">
        <v>63</v>
      </c>
      <c r="F14" s="4" t="s">
        <v>64</v>
      </c>
      <c r="G14" s="10">
        <v>1.3</v>
      </c>
      <c r="H14" s="6">
        <v>0.42</v>
      </c>
      <c r="I14" s="7">
        <v>0.07506200000000002</v>
      </c>
      <c r="J14" s="7">
        <v>0.16535799999999998</v>
      </c>
      <c r="K14" s="7">
        <v>0.1534</v>
      </c>
      <c r="L14" s="7">
        <f>(5.9*(M14^0.305))/100</f>
        <v>0.0669400914</v>
      </c>
      <c r="M14" s="8">
        <v>1.51281058728664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0.5" customHeight="1">
      <c r="A15" s="3" t="s">
        <v>27</v>
      </c>
      <c r="B15" s="3">
        <v>2014.0</v>
      </c>
      <c r="C15" s="4" t="s">
        <v>65</v>
      </c>
      <c r="D15" s="5" t="s">
        <v>66</v>
      </c>
      <c r="E15" s="4" t="s">
        <v>16</v>
      </c>
      <c r="F15" s="4" t="s">
        <v>67</v>
      </c>
      <c r="G15" s="10">
        <v>1.382</v>
      </c>
      <c r="H15" s="6">
        <v>0.18</v>
      </c>
      <c r="I15" s="7">
        <v>0.10129999999999999</v>
      </c>
      <c r="J15" s="7">
        <v>0.125</v>
      </c>
      <c r="K15" s="7">
        <v>0.0782</v>
      </c>
      <c r="L15" s="7">
        <v>0.05369999999999999</v>
      </c>
      <c r="M15" s="8">
        <v>2.23880091198575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0.5" customHeight="1">
      <c r="A16" s="3" t="s">
        <v>42</v>
      </c>
      <c r="B16" s="3">
        <v>2005.0</v>
      </c>
      <c r="C16" s="4" t="s">
        <v>68</v>
      </c>
      <c r="D16" s="5" t="s">
        <v>69</v>
      </c>
      <c r="E16" s="4" t="s">
        <v>63</v>
      </c>
      <c r="F16" s="4" t="s">
        <v>70</v>
      </c>
      <c r="G16" s="10">
        <v>1.5</v>
      </c>
      <c r="H16" s="6">
        <v>0.53</v>
      </c>
      <c r="I16" s="7">
        <v>0.08869999999999999</v>
      </c>
      <c r="J16" s="7">
        <v>0.224415</v>
      </c>
      <c r="K16" s="7">
        <v>0.208592</v>
      </c>
      <c r="L16" s="7">
        <f>(5.9*(M16^0.305))/100</f>
        <v>0.07057342856</v>
      </c>
      <c r="M16" s="8">
        <v>1.79906383573835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0.5" customHeight="1">
      <c r="A17" s="3" t="s">
        <v>27</v>
      </c>
      <c r="B17" s="3">
        <v>2017.0</v>
      </c>
      <c r="C17" s="4" t="s">
        <v>65</v>
      </c>
      <c r="D17" s="5" t="s">
        <v>66</v>
      </c>
      <c r="E17" s="4" t="s">
        <v>16</v>
      </c>
      <c r="F17" s="4" t="s">
        <v>67</v>
      </c>
      <c r="G17" s="10">
        <v>1.7</v>
      </c>
      <c r="H17" s="6">
        <v>0.19</v>
      </c>
      <c r="I17" s="7">
        <v>0.08429002177948462</v>
      </c>
      <c r="J17" s="7">
        <v>0.1297502097393174</v>
      </c>
      <c r="K17" s="7">
        <v>0.09445530165222708</v>
      </c>
      <c r="L17" s="7">
        <v>0.06511888635605292</v>
      </c>
      <c r="M17" s="8">
        <v>1.9185598116945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0.5" customHeight="1">
      <c r="A18" s="3" t="s">
        <v>71</v>
      </c>
      <c r="B18" s="3">
        <v>2008.0</v>
      </c>
      <c r="C18" s="4" t="s">
        <v>72</v>
      </c>
      <c r="D18" s="5" t="s">
        <v>73</v>
      </c>
      <c r="E18" s="4" t="s">
        <v>74</v>
      </c>
      <c r="F18" s="4" t="s">
        <v>75</v>
      </c>
      <c r="G18" s="10">
        <v>1.81</v>
      </c>
      <c r="H18" s="6">
        <v>0.165</v>
      </c>
      <c r="I18" s="7">
        <v>0.09189052572830698</v>
      </c>
      <c r="J18" s="7">
        <v>0.1445360831131328</v>
      </c>
      <c r="K18" s="7">
        <v>0.10736984890188271</v>
      </c>
      <c r="L18" s="7">
        <v>0.07070399882115536</v>
      </c>
      <c r="M18" s="8">
        <v>1.2235108427872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0.5" customHeight="1">
      <c r="A19" s="3" t="s">
        <v>27</v>
      </c>
      <c r="B19" s="3">
        <v>2014.0</v>
      </c>
      <c r="C19" s="4" t="s">
        <v>76</v>
      </c>
      <c r="D19" s="5" t="s">
        <v>77</v>
      </c>
      <c r="E19" s="4" t="s">
        <v>16</v>
      </c>
      <c r="F19" s="4" t="s">
        <v>78</v>
      </c>
      <c r="G19" s="10">
        <v>3.03</v>
      </c>
      <c r="H19" s="6">
        <v>0.293</v>
      </c>
      <c r="I19" s="7">
        <v>0.11958333333333333</v>
      </c>
      <c r="J19" s="7">
        <v>0.1758333333333333</v>
      </c>
      <c r="K19" s="7">
        <v>0.1225</v>
      </c>
      <c r="L19" s="7">
        <v>0.07708333333333334</v>
      </c>
      <c r="M19" s="8">
        <v>1.68254732795456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0.5" customHeight="1">
      <c r="A20" s="3" t="s">
        <v>79</v>
      </c>
      <c r="B20" s="3">
        <v>2004.0</v>
      </c>
      <c r="C20" s="4" t="s">
        <v>80</v>
      </c>
      <c r="D20" s="5" t="s">
        <v>81</v>
      </c>
      <c r="E20" s="4" t="s">
        <v>82</v>
      </c>
      <c r="F20" s="4" t="s">
        <v>83</v>
      </c>
      <c r="G20" s="10">
        <v>3.5</v>
      </c>
      <c r="H20" s="6">
        <v>0.458656</v>
      </c>
      <c r="I20" s="7">
        <v>0.09</v>
      </c>
      <c r="J20" s="7">
        <v>0.24</v>
      </c>
      <c r="K20" s="7">
        <v>0.19</v>
      </c>
      <c r="L20" s="7">
        <v>0.085</v>
      </c>
      <c r="M20" s="8">
        <v>1.22134065219681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0.5" customHeight="1">
      <c r="A21" s="3" t="s">
        <v>13</v>
      </c>
      <c r="B21" s="3">
        <v>1991.0</v>
      </c>
      <c r="C21" s="4" t="s">
        <v>76</v>
      </c>
      <c r="D21" s="5" t="s">
        <v>77</v>
      </c>
      <c r="E21" s="4" t="s">
        <v>16</v>
      </c>
      <c r="F21" s="4" t="s">
        <v>78</v>
      </c>
      <c r="G21" s="10">
        <v>5.69</v>
      </c>
      <c r="H21" s="6">
        <v>0.395</v>
      </c>
      <c r="I21" s="7">
        <v>0.115</v>
      </c>
      <c r="J21" s="7">
        <v>0.191</v>
      </c>
      <c r="K21" s="7">
        <v>0.134</v>
      </c>
      <c r="L21" s="7">
        <v>0.091</v>
      </c>
      <c r="M21" s="8">
        <v>2.52503524410415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0.5" customHeight="1">
      <c r="A22" s="3" t="s">
        <v>18</v>
      </c>
      <c r="B22" s="3">
        <v>2001.0</v>
      </c>
      <c r="C22" s="4" t="s">
        <v>84</v>
      </c>
      <c r="D22" s="5" t="s">
        <v>85</v>
      </c>
      <c r="E22" s="4" t="s">
        <v>86</v>
      </c>
      <c r="F22" s="4" t="s">
        <v>87</v>
      </c>
      <c r="G22" s="11">
        <v>18.0</v>
      </c>
      <c r="H22" s="6">
        <v>0.81</v>
      </c>
      <c r="I22" s="7">
        <v>0.21</v>
      </c>
      <c r="J22" s="7">
        <v>0.321</v>
      </c>
      <c r="K22" s="7">
        <v>0.306</v>
      </c>
      <c r="L22" s="7">
        <v>0.126</v>
      </c>
      <c r="M22" s="8">
        <v>1.25820186595151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0.5" customHeight="1">
      <c r="A23" s="3" t="s">
        <v>13</v>
      </c>
      <c r="B23" s="3">
        <v>1991.0</v>
      </c>
      <c r="C23" s="4" t="s">
        <v>84</v>
      </c>
      <c r="D23" s="5" t="s">
        <v>85</v>
      </c>
      <c r="E23" s="4" t="s">
        <v>86</v>
      </c>
      <c r="F23" s="4" t="s">
        <v>87</v>
      </c>
      <c r="G23" s="11">
        <v>20.0</v>
      </c>
      <c r="H23" s="6">
        <v>0.82</v>
      </c>
      <c r="I23" s="7">
        <v>0.21</v>
      </c>
      <c r="J23" s="7">
        <v>0.319</v>
      </c>
      <c r="K23" s="7">
        <v>0.306</v>
      </c>
      <c r="L23" s="7">
        <v>0.123</v>
      </c>
      <c r="M23" s="8">
        <v>1.94842621936502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0.5" customHeight="1">
      <c r="A24" s="3" t="s">
        <v>88</v>
      </c>
      <c r="B24" s="3">
        <v>2000.0</v>
      </c>
      <c r="C24" s="4" t="s">
        <v>89</v>
      </c>
      <c r="D24" s="5" t="s">
        <v>90</v>
      </c>
      <c r="E24" s="4" t="s">
        <v>86</v>
      </c>
      <c r="F24" s="4" t="s">
        <v>91</v>
      </c>
      <c r="G24" s="11">
        <v>37.0</v>
      </c>
      <c r="H24" s="6">
        <v>0.9</v>
      </c>
      <c r="I24" s="7">
        <v>0.224</v>
      </c>
      <c r="J24" s="7">
        <v>0.39</v>
      </c>
      <c r="K24" s="7">
        <v>0.378</v>
      </c>
      <c r="L24" s="7">
        <v>0.16</v>
      </c>
      <c r="M24" s="8">
        <v>1.34688729260951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0.5" customHeight="1">
      <c r="A25" s="3" t="s">
        <v>13</v>
      </c>
      <c r="B25" s="3">
        <v>1991.0</v>
      </c>
      <c r="C25" s="4" t="s">
        <v>92</v>
      </c>
      <c r="D25" s="5" t="s">
        <v>93</v>
      </c>
      <c r="E25" s="4" t="s">
        <v>86</v>
      </c>
      <c r="F25" s="4" t="s">
        <v>94</v>
      </c>
      <c r="G25" s="11">
        <v>90.0</v>
      </c>
      <c r="H25" s="6">
        <v>1.19</v>
      </c>
      <c r="I25" s="7">
        <v>0.294</v>
      </c>
      <c r="J25" s="7">
        <v>0.524</v>
      </c>
      <c r="K25" s="7">
        <v>0.474</v>
      </c>
      <c r="L25" s="7">
        <v>0.25</v>
      </c>
      <c r="M25" s="8">
        <v>2.13896730943798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0.5" customHeight="1">
      <c r="A26" s="3" t="s">
        <v>95</v>
      </c>
      <c r="B26" s="3">
        <v>2016.0</v>
      </c>
      <c r="C26" s="4" t="s">
        <v>92</v>
      </c>
      <c r="D26" s="5" t="s">
        <v>93</v>
      </c>
      <c r="E26" s="4" t="s">
        <v>86</v>
      </c>
      <c r="F26" s="4" t="s">
        <v>94</v>
      </c>
      <c r="G26" s="11">
        <v>110.97</v>
      </c>
      <c r="H26" s="6">
        <v>1.26</v>
      </c>
      <c r="I26" s="7">
        <v>0.332</v>
      </c>
      <c r="J26" s="7">
        <v>0.626</v>
      </c>
      <c r="K26" s="7">
        <v>0.442</v>
      </c>
      <c r="L26" s="7">
        <v>0.13849999999999998</v>
      </c>
      <c r="M26" s="8">
        <v>3.06778698283095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0.5" customHeight="1">
      <c r="A27" s="2" t="s">
        <v>27</v>
      </c>
      <c r="B27" s="2">
        <v>2014.0</v>
      </c>
      <c r="C27" s="12" t="s">
        <v>92</v>
      </c>
      <c r="D27" s="13" t="s">
        <v>93</v>
      </c>
      <c r="E27" s="12" t="s">
        <v>86</v>
      </c>
      <c r="F27" s="12" t="s">
        <v>94</v>
      </c>
      <c r="G27" s="14">
        <v>116.8061</v>
      </c>
      <c r="H27" s="15">
        <v>1.26</v>
      </c>
      <c r="I27" s="16">
        <v>0.332</v>
      </c>
      <c r="J27" s="16">
        <v>0.626</v>
      </c>
      <c r="K27" s="16">
        <v>0.442</v>
      </c>
      <c r="L27" s="16">
        <v>0.13849999999999998</v>
      </c>
      <c r="M27" s="17">
        <v>0.993188997125162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0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0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0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0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0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0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0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0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0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0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0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0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0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0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0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0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0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0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0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0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0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0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0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0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0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0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0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0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0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0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0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0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0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0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0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0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0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0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0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0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0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0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0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0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0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0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0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0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0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0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0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0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0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0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0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0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0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0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0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0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0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0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0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0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0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0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0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0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0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0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0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0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0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0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0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0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0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0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0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0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0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0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0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0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0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0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0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0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0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0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0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0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0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0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0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0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0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0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0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0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0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0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0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0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0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0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0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0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0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0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0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0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0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0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0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0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0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0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0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0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0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0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0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0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0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0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0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0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0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0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0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0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0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0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0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0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0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0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0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0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0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0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0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0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0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0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0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0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0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0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0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0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0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0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0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0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0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0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0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0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0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0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0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0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0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0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0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0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0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0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0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0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0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0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0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0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0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0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0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0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0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0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0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0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0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0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0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0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0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0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0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0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0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0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0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0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0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0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0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0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0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0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0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0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0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0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0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0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0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0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0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0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0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0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0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0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0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0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0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0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0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0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0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0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0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0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0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0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0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0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0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0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0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0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0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0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0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0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0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0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0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0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0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0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0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0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0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0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0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0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0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0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0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0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0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0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0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0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0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0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0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0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0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0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0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0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0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0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0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0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0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0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0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0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0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0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0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0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0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0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0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0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0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0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0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0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0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0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0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0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0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0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0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0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0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0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0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0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0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0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0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0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0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0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0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0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0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0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0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0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0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0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0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0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0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0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0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0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0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0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0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0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0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0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0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0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0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0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0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0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0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0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0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0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0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0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0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0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0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0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0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0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0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0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0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0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0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0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0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0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0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0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0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0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0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0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0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0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0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0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0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0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0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0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0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0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0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0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0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0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0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0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0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0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0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0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0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0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0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0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0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0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0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0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0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0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0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0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0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0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0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0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0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0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0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0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0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0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0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0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0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0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0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0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0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0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0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0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0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0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0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0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0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0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0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0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0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0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0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0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0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0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0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0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0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0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0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0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0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0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0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0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0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0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0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0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0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0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0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0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0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0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0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0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0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0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0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0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0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0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0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0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0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0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0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0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0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0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0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0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0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0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0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0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0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0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0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0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0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0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0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0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0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0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0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0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0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0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0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0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0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0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0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0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0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0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0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0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0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0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0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0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0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0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0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0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0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0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0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0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0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0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0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0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0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0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0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0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0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0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0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0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0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0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0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0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0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0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0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0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0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0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0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0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0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0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0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0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0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0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0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0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0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0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0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0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0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0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0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0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0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0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0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0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0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0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0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0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0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0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0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0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0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0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0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0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0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0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0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0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0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0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0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0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0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0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0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0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0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0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0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0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0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0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0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0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0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0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0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0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0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0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0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0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0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0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0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0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0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0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0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0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0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0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0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0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0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0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0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0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0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0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0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0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0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0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0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0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0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0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0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0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0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0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0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0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0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0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0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0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0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0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0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0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0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0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0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0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0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0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0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0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0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0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0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0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0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0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0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0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0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0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0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0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0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0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0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0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0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0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0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0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0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0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0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0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0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0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0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0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0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0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0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0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0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0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0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0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0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0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0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0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0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0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0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0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0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0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0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0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0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0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0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0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0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0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0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0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0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0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0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0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0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0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0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0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0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0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0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0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0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0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0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0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0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0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0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0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0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0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0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0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0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0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0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0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0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0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0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0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0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0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0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0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0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0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0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0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0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0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0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0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0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0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0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0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0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0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0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0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0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0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0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0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0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0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0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0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0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0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0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0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0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0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0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0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0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0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0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0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0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0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0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0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0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0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0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0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0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0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0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0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0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0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0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0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0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0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0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0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0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0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0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0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0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0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0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0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0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0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0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0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0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0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0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0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0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0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0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0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0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0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0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0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0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0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0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0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0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0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0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0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0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0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0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0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0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0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0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0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0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0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0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0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0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0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0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0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0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0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0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0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0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0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0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0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0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0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0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0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0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0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0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0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0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0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0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0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0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0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0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0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0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0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0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0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0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0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0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0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0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0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0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0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0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0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0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0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0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0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0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0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0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0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0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0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0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0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0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0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0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0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0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0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0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0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0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0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0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0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0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0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0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0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0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0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0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0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0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0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0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0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0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0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0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0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0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0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0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0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0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0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0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0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0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0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0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0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0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0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0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0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0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0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0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0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0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0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0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0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0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0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0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0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0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0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0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0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0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0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0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0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0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0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0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0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0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0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0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0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0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0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0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0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0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0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0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0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0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0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0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0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0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0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0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0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0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0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0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0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0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0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0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2017-08-21T10:32:58Z</dcterms:created>
  <dc:creator>monica daley</dc:creator>
</cp:coreProperties>
</file>