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onicadaley/Library/CloudStorage/GoogleDrive-madaley@uci.edu/Shared drives/IMSI_SharedDrive/2_IMSI_AllHandsShare/IMSI_SummerInstitute_2025/IMSI-SI_Workshops/3_Scaling and dimensional analysis (Daley)/"/>
    </mc:Choice>
  </mc:AlternateContent>
  <xr:revisionPtr revIDLastSave="0" documentId="13_ncr:1_{BB8F329A-41BC-2E4D-B783-D4A542102327}" xr6:coauthVersionLast="47" xr6:coauthVersionMax="47" xr10:uidLastSave="{00000000-0000-0000-0000-000000000000}"/>
  <bookViews>
    <workbookView xWindow="1560" yWindow="740" windowWidth="27840" windowHeight="18160" tabRatio="595" xr2:uid="{00000000-000D-0000-FFFF-FFFF00000000}"/>
  </bookViews>
  <sheets>
    <sheet name="SummaryData" sheetId="1" r:id="rId1"/>
    <sheet name="SortedByGroup" sheetId="4" r:id="rId2"/>
    <sheet name="Notes_on_ExcludedStudies" sheetId="2" r:id="rId3"/>
  </sheets>
  <definedNames>
    <definedName name="_xlnm._FilterDatabase" localSheetId="1" hidden="1">SortedByGroup!$A$1:$Q$27</definedName>
    <definedName name="_xlnm._FilterDatabase" localSheetId="0" hidden="1">SummaryData!$A$1:$U$29</definedName>
    <definedName name="_xlnm.Print_Area" localSheetId="1">SortedByGroup!$A$1:$S$27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" i="1" l="1"/>
  <c r="H35" i="2"/>
  <c r="H36" i="2"/>
  <c r="B37" i="2"/>
  <c r="C37" i="2"/>
  <c r="D37" i="2"/>
  <c r="E37" i="2"/>
  <c r="F37" i="2"/>
  <c r="G37" i="2"/>
  <c r="H37" i="2"/>
  <c r="M19" i="2"/>
  <c r="O19" i="2"/>
  <c r="M23" i="2"/>
  <c r="Q23" i="2" s="1"/>
  <c r="O23" i="2"/>
  <c r="M22" i="2"/>
  <c r="O22" i="2"/>
  <c r="M21" i="2"/>
  <c r="O21" i="2" s="1"/>
  <c r="M20" i="2"/>
  <c r="O20" i="2"/>
  <c r="M18" i="2"/>
  <c r="Q18" i="2" s="1"/>
  <c r="O18" i="2"/>
  <c r="M15" i="2"/>
  <c r="O15" i="2" s="1"/>
  <c r="M14" i="2"/>
  <c r="O14" i="2" s="1"/>
  <c r="I12" i="2"/>
  <c r="M12" i="2" s="1"/>
  <c r="O12" i="2" s="1"/>
  <c r="J12" i="2"/>
  <c r="K12" i="2"/>
  <c r="L12" i="2"/>
  <c r="I11" i="2"/>
  <c r="J11" i="2"/>
  <c r="M11" i="2" s="1"/>
  <c r="O11" i="2" s="1"/>
  <c r="K11" i="2"/>
  <c r="L11" i="2"/>
  <c r="I10" i="2"/>
  <c r="J10" i="2"/>
  <c r="K10" i="2"/>
  <c r="L10" i="2"/>
  <c r="M10" i="2" s="1"/>
  <c r="O10" i="2" s="1"/>
  <c r="I9" i="2"/>
  <c r="M9" i="2" s="1"/>
  <c r="O9" i="2" s="1"/>
  <c r="J9" i="2"/>
  <c r="K9" i="2"/>
  <c r="L9" i="2"/>
  <c r="I3" i="2"/>
  <c r="J3" i="2"/>
  <c r="K3" i="2"/>
  <c r="L3" i="2"/>
  <c r="M3" i="2" s="1"/>
  <c r="O3" i="2" s="1"/>
  <c r="I4" i="2"/>
  <c r="M4" i="2" s="1"/>
  <c r="O4" i="2" s="1"/>
  <c r="J4" i="2"/>
  <c r="K4" i="2"/>
  <c r="L4" i="2"/>
  <c r="M3" i="4"/>
  <c r="R3" i="4" s="1"/>
  <c r="N3" i="4"/>
  <c r="M4" i="4"/>
  <c r="N4" i="4"/>
  <c r="R4" i="4"/>
  <c r="M5" i="4"/>
  <c r="N5" i="4"/>
  <c r="M6" i="4"/>
  <c r="N6" i="4"/>
  <c r="M7" i="4"/>
  <c r="N7" i="4"/>
  <c r="R7" i="4" s="1"/>
  <c r="M8" i="4"/>
  <c r="P8" i="4" s="1"/>
  <c r="N8" i="4"/>
  <c r="R8" i="4" s="1"/>
  <c r="M9" i="4"/>
  <c r="Q9" i="4" s="1"/>
  <c r="N9" i="4"/>
  <c r="R9" i="4" s="1"/>
  <c r="M10" i="4"/>
  <c r="Q10" i="4" s="1"/>
  <c r="N10" i="4"/>
  <c r="M11" i="4"/>
  <c r="G11" i="4"/>
  <c r="N11" i="4" s="1"/>
  <c r="M12" i="4"/>
  <c r="Q12" i="4" s="1"/>
  <c r="N12" i="4"/>
  <c r="M13" i="4"/>
  <c r="N13" i="4"/>
  <c r="R13" i="4"/>
  <c r="M14" i="4"/>
  <c r="N14" i="4"/>
  <c r="M15" i="4"/>
  <c r="P15" i="4" s="1"/>
  <c r="N15" i="4"/>
  <c r="M16" i="4"/>
  <c r="N16" i="4"/>
  <c r="M17" i="4"/>
  <c r="R17" i="4" s="1"/>
  <c r="N17" i="4"/>
  <c r="M18" i="4"/>
  <c r="P18" i="4" s="1"/>
  <c r="N18" i="4"/>
  <c r="M19" i="4"/>
  <c r="R19" i="4" s="1"/>
  <c r="N19" i="4"/>
  <c r="M20" i="4"/>
  <c r="P20" i="4" s="1"/>
  <c r="N20" i="4"/>
  <c r="R20" i="4" s="1"/>
  <c r="M21" i="4"/>
  <c r="R21" i="4" s="1"/>
  <c r="N21" i="4"/>
  <c r="M22" i="4"/>
  <c r="N22" i="4"/>
  <c r="M23" i="4"/>
  <c r="N23" i="4"/>
  <c r="M24" i="4"/>
  <c r="N24" i="4"/>
  <c r="M25" i="4"/>
  <c r="N25" i="4"/>
  <c r="R25" i="4"/>
  <c r="M26" i="4"/>
  <c r="R26" i="4" s="1"/>
  <c r="N26" i="4"/>
  <c r="M27" i="4"/>
  <c r="N27" i="4"/>
  <c r="M2" i="4"/>
  <c r="Q2" i="4" s="1"/>
  <c r="N2" i="4"/>
  <c r="N23" i="2"/>
  <c r="P23" i="2"/>
  <c r="L22" i="2"/>
  <c r="N22" i="2"/>
  <c r="P22" i="2"/>
  <c r="Q22" i="2"/>
  <c r="N21" i="2"/>
  <c r="P21" i="2"/>
  <c r="Q21" i="2"/>
  <c r="N20" i="2"/>
  <c r="P20" i="2"/>
  <c r="Q20" i="2"/>
  <c r="N19" i="2"/>
  <c r="P19" i="2"/>
  <c r="Q19" i="2"/>
  <c r="G18" i="2"/>
  <c r="P18" i="2" s="1"/>
  <c r="N18" i="2"/>
  <c r="O2" i="4"/>
  <c r="P2" i="4"/>
  <c r="O26" i="4"/>
  <c r="P26" i="4"/>
  <c r="O18" i="4"/>
  <c r="I2" i="2"/>
  <c r="M2" i="2" s="1"/>
  <c r="O2" i="2" s="1"/>
  <c r="J2" i="2"/>
  <c r="K2" i="2"/>
  <c r="L2" i="2"/>
  <c r="N2" i="2"/>
  <c r="Q6" i="4"/>
  <c r="P6" i="4"/>
  <c r="O6" i="4"/>
  <c r="L6" i="4"/>
  <c r="O20" i="4"/>
  <c r="Q25" i="4"/>
  <c r="P25" i="4"/>
  <c r="O25" i="4"/>
  <c r="O23" i="4"/>
  <c r="O21" i="4"/>
  <c r="Q27" i="4"/>
  <c r="P27" i="4"/>
  <c r="O27" i="4"/>
  <c r="O19" i="4"/>
  <c r="Q15" i="4"/>
  <c r="O15" i="4"/>
  <c r="Q13" i="4"/>
  <c r="P13" i="4"/>
  <c r="O13" i="4"/>
  <c r="P5" i="4"/>
  <c r="O5" i="4"/>
  <c r="Q16" i="4"/>
  <c r="P16" i="4"/>
  <c r="O16" i="4"/>
  <c r="L16" i="4"/>
  <c r="Q14" i="4"/>
  <c r="P14" i="4"/>
  <c r="O14" i="4"/>
  <c r="L14" i="4"/>
  <c r="P12" i="4"/>
  <c r="O12" i="4"/>
  <c r="L12" i="4"/>
  <c r="O9" i="4"/>
  <c r="L9" i="4"/>
  <c r="O10" i="4"/>
  <c r="Q4" i="4"/>
  <c r="P4" i="4"/>
  <c r="O4" i="4"/>
  <c r="L4" i="4"/>
  <c r="Q8" i="4"/>
  <c r="O8" i="4"/>
  <c r="L8" i="4"/>
  <c r="Q7" i="4"/>
  <c r="P7" i="4"/>
  <c r="O7" i="4"/>
  <c r="L7" i="4"/>
  <c r="Q11" i="4"/>
  <c r="P11" i="4"/>
  <c r="O11" i="4"/>
  <c r="L11" i="4"/>
  <c r="P17" i="4"/>
  <c r="O17" i="4"/>
  <c r="O24" i="4"/>
  <c r="Q22" i="4"/>
  <c r="P22" i="4"/>
  <c r="O22" i="4"/>
  <c r="P3" i="4"/>
  <c r="O3" i="4"/>
  <c r="L30" i="1"/>
  <c r="P30" i="1" s="1"/>
  <c r="L29" i="1"/>
  <c r="L28" i="1"/>
  <c r="P28" i="1" s="1"/>
  <c r="L27" i="1"/>
  <c r="O27" i="1" s="1"/>
  <c r="L26" i="1"/>
  <c r="O26" i="1" s="1"/>
  <c r="L25" i="1"/>
  <c r="O25" i="1" s="1"/>
  <c r="L24" i="1"/>
  <c r="O24" i="1" s="1"/>
  <c r="L23" i="1"/>
  <c r="L22" i="1"/>
  <c r="P22" i="1" s="1"/>
  <c r="L21" i="1"/>
  <c r="L20" i="1"/>
  <c r="P20" i="1" s="1"/>
  <c r="L19" i="1"/>
  <c r="O19" i="1" s="1"/>
  <c r="L18" i="1"/>
  <c r="O18" i="1" s="1"/>
  <c r="L17" i="1"/>
  <c r="O17" i="1" s="1"/>
  <c r="L16" i="1"/>
  <c r="O16" i="1" s="1"/>
  <c r="L15" i="1"/>
  <c r="L14" i="1"/>
  <c r="P14" i="1" s="1"/>
  <c r="L13" i="1"/>
  <c r="L12" i="1"/>
  <c r="P12" i="1" s="1"/>
  <c r="L11" i="1"/>
  <c r="O11" i="1" s="1"/>
  <c r="L10" i="1"/>
  <c r="O10" i="1" s="1"/>
  <c r="L9" i="1"/>
  <c r="O9" i="1" s="1"/>
  <c r="L8" i="1"/>
  <c r="O8" i="1" s="1"/>
  <c r="L7" i="1"/>
  <c r="L6" i="1"/>
  <c r="P6" i="1" s="1"/>
  <c r="L5" i="1"/>
  <c r="L4" i="1"/>
  <c r="P4" i="1" s="1"/>
  <c r="L3" i="1"/>
  <c r="O3" i="1" s="1"/>
  <c r="L2" i="1"/>
  <c r="P2" i="1"/>
  <c r="P3" i="1"/>
  <c r="P5" i="1"/>
  <c r="P7" i="1"/>
  <c r="P10" i="1"/>
  <c r="P11" i="1"/>
  <c r="P13" i="1"/>
  <c r="P15" i="1"/>
  <c r="P18" i="1"/>
  <c r="P19" i="1"/>
  <c r="P21" i="1"/>
  <c r="P23" i="1"/>
  <c r="P26" i="1"/>
  <c r="P27" i="1"/>
  <c r="P29" i="1"/>
  <c r="O4" i="1"/>
  <c r="O5" i="1"/>
  <c r="O6" i="1"/>
  <c r="O7" i="1"/>
  <c r="O12" i="1"/>
  <c r="O13" i="1"/>
  <c r="O14" i="1"/>
  <c r="O15" i="1"/>
  <c r="O20" i="1"/>
  <c r="O21" i="1"/>
  <c r="O22" i="1"/>
  <c r="O23" i="1"/>
  <c r="O28" i="1"/>
  <c r="O29" i="1"/>
  <c r="O30" i="1"/>
  <c r="O2" i="1"/>
  <c r="N3" i="1"/>
  <c r="N4" i="1"/>
  <c r="N5" i="1"/>
  <c r="N6" i="1"/>
  <c r="N7" i="1"/>
  <c r="F8" i="1"/>
  <c r="M8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F30" i="1"/>
  <c r="M30" i="1" s="1"/>
  <c r="M3" i="1"/>
  <c r="Q3" i="1"/>
  <c r="R3" i="1"/>
  <c r="S3" i="1" s="1"/>
  <c r="M4" i="1"/>
  <c r="Q4" i="1"/>
  <c r="R4" i="1"/>
  <c r="S4" i="1" s="1"/>
  <c r="M5" i="1"/>
  <c r="Q5" i="1"/>
  <c r="R5" i="1"/>
  <c r="S5" i="1" s="1"/>
  <c r="M6" i="1"/>
  <c r="Q6" i="1"/>
  <c r="R6" i="1"/>
  <c r="S6" i="1" s="1"/>
  <c r="M7" i="1"/>
  <c r="Q7" i="1"/>
  <c r="R7" i="1"/>
  <c r="S7" i="1" s="1"/>
  <c r="Q8" i="1"/>
  <c r="R8" i="1"/>
  <c r="S8" i="1" s="1"/>
  <c r="M9" i="1"/>
  <c r="Q9" i="1"/>
  <c r="R9" i="1"/>
  <c r="S9" i="1" s="1"/>
  <c r="M10" i="1"/>
  <c r="Q10" i="1"/>
  <c r="R10" i="1"/>
  <c r="S10" i="1" s="1"/>
  <c r="M11" i="1"/>
  <c r="Q11" i="1"/>
  <c r="R11" i="1"/>
  <c r="S11" i="1" s="1"/>
  <c r="M12" i="1"/>
  <c r="Q12" i="1"/>
  <c r="R12" i="1"/>
  <c r="S12" i="1" s="1"/>
  <c r="M13" i="1"/>
  <c r="Q13" i="1"/>
  <c r="R13" i="1"/>
  <c r="S13" i="1" s="1"/>
  <c r="M14" i="1"/>
  <c r="Q14" i="1"/>
  <c r="R14" i="1"/>
  <c r="S14" i="1" s="1"/>
  <c r="M15" i="1"/>
  <c r="Q15" i="1"/>
  <c r="R15" i="1"/>
  <c r="S15" i="1" s="1"/>
  <c r="M16" i="1"/>
  <c r="Q16" i="1"/>
  <c r="R16" i="1"/>
  <c r="S16" i="1" s="1"/>
  <c r="M17" i="1"/>
  <c r="Q17" i="1"/>
  <c r="R17" i="1"/>
  <c r="S17" i="1" s="1"/>
  <c r="M18" i="1"/>
  <c r="Q18" i="1"/>
  <c r="R18" i="1"/>
  <c r="S18" i="1" s="1"/>
  <c r="M19" i="1"/>
  <c r="Q19" i="1"/>
  <c r="R19" i="1"/>
  <c r="S19" i="1" s="1"/>
  <c r="M20" i="1"/>
  <c r="Q20" i="1"/>
  <c r="R20" i="1"/>
  <c r="S20" i="1" s="1"/>
  <c r="M21" i="1"/>
  <c r="Q21" i="1"/>
  <c r="R21" i="1"/>
  <c r="S21" i="1" s="1"/>
  <c r="M22" i="1"/>
  <c r="Q22" i="1"/>
  <c r="R22" i="1"/>
  <c r="S22" i="1" s="1"/>
  <c r="M23" i="1"/>
  <c r="Q23" i="1"/>
  <c r="R23" i="1"/>
  <c r="S23" i="1" s="1"/>
  <c r="M24" i="1"/>
  <c r="Q24" i="1"/>
  <c r="R24" i="1"/>
  <c r="S24" i="1" s="1"/>
  <c r="M25" i="1"/>
  <c r="Q25" i="1"/>
  <c r="R25" i="1"/>
  <c r="S25" i="1" s="1"/>
  <c r="M26" i="1"/>
  <c r="Q26" i="1"/>
  <c r="U26" i="1" s="1"/>
  <c r="R26" i="1"/>
  <c r="S26" i="1" s="1"/>
  <c r="M27" i="1"/>
  <c r="Q27" i="1"/>
  <c r="U27" i="1" s="1"/>
  <c r="R27" i="1"/>
  <c r="S27" i="1" s="1"/>
  <c r="M28" i="1"/>
  <c r="Q28" i="1"/>
  <c r="R28" i="1"/>
  <c r="S28" i="1" s="1"/>
  <c r="M29" i="1"/>
  <c r="Q29" i="1"/>
  <c r="R29" i="1"/>
  <c r="S29" i="1" s="1"/>
  <c r="Q30" i="1"/>
  <c r="R30" i="1"/>
  <c r="S30" i="1" s="1"/>
  <c r="N16" i="2"/>
  <c r="M16" i="2"/>
  <c r="O16" i="2" s="1"/>
  <c r="L17" i="2"/>
  <c r="M17" i="2" s="1"/>
  <c r="M13" i="2"/>
  <c r="O13" i="2" s="1"/>
  <c r="N14" i="2"/>
  <c r="N15" i="2"/>
  <c r="K3" i="1"/>
  <c r="K8" i="1"/>
  <c r="K29" i="1"/>
  <c r="I5" i="2"/>
  <c r="J5" i="2"/>
  <c r="K5" i="2"/>
  <c r="L5" i="2"/>
  <c r="M5" i="2"/>
  <c r="G7" i="2"/>
  <c r="I7" i="2" s="1"/>
  <c r="G8" i="2"/>
  <c r="I8" i="2" s="1"/>
  <c r="E29" i="2"/>
  <c r="N13" i="2"/>
  <c r="K15" i="1"/>
  <c r="K16" i="1"/>
  <c r="K17" i="1"/>
  <c r="K18" i="1"/>
  <c r="K14" i="1"/>
  <c r="K12" i="1"/>
  <c r="K11" i="1"/>
  <c r="K10" i="1"/>
  <c r="N10" i="2"/>
  <c r="N11" i="2"/>
  <c r="N12" i="2"/>
  <c r="T26" i="1"/>
  <c r="N9" i="2"/>
  <c r="N5" i="2"/>
  <c r="N4" i="2"/>
  <c r="N3" i="2"/>
  <c r="M2" i="1"/>
  <c r="R2" i="1"/>
  <c r="S2" i="1"/>
  <c r="Q2" i="1"/>
  <c r="Q17" i="4" l="1"/>
  <c r="R27" i="4"/>
  <c r="P10" i="4"/>
  <c r="P21" i="4"/>
  <c r="R23" i="4"/>
  <c r="R16" i="4"/>
  <c r="R12" i="4"/>
  <c r="R5" i="4"/>
  <c r="P19" i="4"/>
  <c r="Q20" i="4"/>
  <c r="R22" i="4"/>
  <c r="Q3" i="4"/>
  <c r="R24" i="4"/>
  <c r="R6" i="4"/>
  <c r="Q21" i="4"/>
  <c r="P24" i="4"/>
  <c r="P9" i="4"/>
  <c r="Q5" i="4"/>
  <c r="Q19" i="4"/>
  <c r="P23" i="4"/>
  <c r="Q26" i="4"/>
  <c r="Q24" i="4"/>
  <c r="Q23" i="4"/>
  <c r="R2" i="4"/>
  <c r="R14" i="4"/>
  <c r="M8" i="2"/>
  <c r="O8" i="2" s="1"/>
  <c r="M7" i="2"/>
  <c r="O7" i="2" s="1"/>
  <c r="R11" i="4"/>
  <c r="L8" i="2"/>
  <c r="N7" i="2"/>
  <c r="K30" i="1"/>
  <c r="L18" i="2"/>
  <c r="R18" i="4"/>
  <c r="K8" i="2"/>
  <c r="N8" i="2"/>
  <c r="N30" i="1"/>
  <c r="P25" i="1"/>
  <c r="P17" i="1"/>
  <c r="P9" i="1"/>
  <c r="R15" i="4"/>
  <c r="R10" i="4"/>
  <c r="L7" i="2"/>
  <c r="J8" i="2"/>
  <c r="K7" i="2"/>
  <c r="P24" i="1"/>
  <c r="P16" i="1"/>
  <c r="P8" i="1"/>
  <c r="J7" i="2"/>
  <c r="N17" i="2"/>
  <c r="Q18" i="4"/>
  <c r="T27" i="1"/>
</calcChain>
</file>

<file path=xl/sharedStrings.xml><?xml version="1.0" encoding="utf-8"?>
<sst xmlns="http://schemas.openxmlformats.org/spreadsheetml/2006/main" count="439" uniqueCount="151">
  <si>
    <t>Author</t>
  </si>
  <si>
    <t>bodyMass</t>
  </si>
  <si>
    <t>HipHeight</t>
  </si>
  <si>
    <t>Lnorm</t>
  </si>
  <si>
    <t>Abourachid</t>
  </si>
  <si>
    <t>kiwi</t>
  </si>
  <si>
    <t>rhea</t>
  </si>
  <si>
    <t>emu</t>
  </si>
  <si>
    <t>ostrich</t>
  </si>
  <si>
    <t>min speed</t>
  </si>
  <si>
    <t>max speed</t>
  </si>
  <si>
    <t>mallard</t>
  </si>
  <si>
    <t>indian runner</t>
  </si>
  <si>
    <t>quail (corturnix)</t>
  </si>
  <si>
    <t>guinea fowl</t>
  </si>
  <si>
    <t>vNorm</t>
  </si>
  <si>
    <t>timeNorm</t>
  </si>
  <si>
    <t>freqNorm</t>
  </si>
  <si>
    <t>Daley</t>
  </si>
  <si>
    <t>Rubenson</t>
  </si>
  <si>
    <t>Nudds</t>
  </si>
  <si>
    <t>rockptarmigan</t>
  </si>
  <si>
    <t>Hancock</t>
  </si>
  <si>
    <t>Nyakatura</t>
  </si>
  <si>
    <t>Northern Lapwing</t>
  </si>
  <si>
    <t>Usherwood</t>
  </si>
  <si>
    <t>Indian Runner</t>
  </si>
  <si>
    <t>Kilbourne</t>
  </si>
  <si>
    <t>Avocet</t>
  </si>
  <si>
    <t>Oystercatcher</t>
  </si>
  <si>
    <t>Lapwing</t>
  </si>
  <si>
    <t>Notes</t>
  </si>
  <si>
    <t>More complete data included in Kilbourne 2016 for the same birds (see Table 1 in each paper)</t>
  </si>
  <si>
    <t>bobwhite</t>
  </si>
  <si>
    <t>pheasant</t>
  </si>
  <si>
    <t>wild turkey</t>
  </si>
  <si>
    <t>brown tinamou</t>
  </si>
  <si>
    <t>red-wing tinamou</t>
  </si>
  <si>
    <t>solitary tinamou</t>
  </si>
  <si>
    <t>black-legged seriema</t>
  </si>
  <si>
    <t>red-legged seriema</t>
  </si>
  <si>
    <t>Fujita</t>
  </si>
  <si>
    <t>Six species</t>
  </si>
  <si>
    <t>Verstappen</t>
  </si>
  <si>
    <t>magpie</t>
  </si>
  <si>
    <t>Stoessel</t>
  </si>
  <si>
    <t>elegant crested tinamou</t>
  </si>
  <si>
    <t>quail (c coturnix)</t>
  </si>
  <si>
    <t>western jackdaw</t>
  </si>
  <si>
    <t>regression fits did not make sense for some variables,  have emailed corresponding author to request raw data</t>
  </si>
  <si>
    <t>white stork</t>
  </si>
  <si>
    <t>Gatesy</t>
  </si>
  <si>
    <t>SegSum</t>
  </si>
  <si>
    <t>painted quail</t>
  </si>
  <si>
    <t>Femur</t>
  </si>
  <si>
    <t>tbt</t>
  </si>
  <si>
    <t>tmt</t>
  </si>
  <si>
    <t>foot</t>
  </si>
  <si>
    <t>Speed range too low</t>
  </si>
  <si>
    <t>Speed, stride length and stride frequency only (no contact duration or duty factor). Author contacted</t>
  </si>
  <si>
    <t>eleg crested tinamou</t>
  </si>
  <si>
    <t>Aylesbury duck</t>
  </si>
  <si>
    <t>a</t>
  </si>
  <si>
    <t>b</t>
  </si>
  <si>
    <t>Posture index fit: y = a +b(log(Mb))</t>
  </si>
  <si>
    <t>x</t>
  </si>
  <si>
    <t>SpreadsheetComplete</t>
  </si>
  <si>
    <t>SpeciedCode</t>
  </si>
  <si>
    <t>qu</t>
  </si>
  <si>
    <t>ma</t>
  </si>
  <si>
    <t>ki</t>
  </si>
  <si>
    <t>rh</t>
  </si>
  <si>
    <t>em</t>
  </si>
  <si>
    <t>gf</t>
  </si>
  <si>
    <t>et</t>
  </si>
  <si>
    <t>os</t>
  </si>
  <si>
    <t>av</t>
  </si>
  <si>
    <t>oy</t>
  </si>
  <si>
    <t>lw</t>
  </si>
  <si>
    <t>rp</t>
  </si>
  <si>
    <t>bt</t>
  </si>
  <si>
    <t>rt</t>
  </si>
  <si>
    <t>st</t>
  </si>
  <si>
    <t>bs</t>
  </si>
  <si>
    <t>rs</t>
  </si>
  <si>
    <t>bw</t>
  </si>
  <si>
    <t>ph</t>
  </si>
  <si>
    <t>wt</t>
  </si>
  <si>
    <t>pq</t>
  </si>
  <si>
    <t>ws</t>
  </si>
  <si>
    <t>mp</t>
  </si>
  <si>
    <t>O'Reilly</t>
  </si>
  <si>
    <t>japanese quail</t>
  </si>
  <si>
    <t>jq</t>
  </si>
  <si>
    <t>No contact time or DF reported for this species in the paper</t>
  </si>
  <si>
    <t>Our own data spans a broader speed range</t>
  </si>
  <si>
    <t>Import data into matlab</t>
  </si>
  <si>
    <t>Fit functions to data</t>
  </si>
  <si>
    <t>Sample fits at consistent relative speed intervals</t>
  </si>
  <si>
    <t>Average these samples across studies for each species</t>
  </si>
  <si>
    <t>Create a single fit per species</t>
  </si>
  <si>
    <t>*For studies that did not report body mass or segment lengths, species-averaged values were used from Zeffer 2003 and Gatesy &amp; Middleton 1997</t>
  </si>
  <si>
    <t>Willener</t>
  </si>
  <si>
    <t>kp</t>
  </si>
  <si>
    <t xml:space="preserve">king penguins </t>
  </si>
  <si>
    <t>BirnJeffery</t>
  </si>
  <si>
    <t>H_fit_bm</t>
  </si>
  <si>
    <t>H_fit_Seg</t>
  </si>
  <si>
    <t>Year</t>
  </si>
  <si>
    <t>PostureIndex</t>
  </si>
  <si>
    <t>Classification</t>
  </si>
  <si>
    <t>galliformes</t>
  </si>
  <si>
    <t>anseriformes</t>
  </si>
  <si>
    <t>charadriiformes</t>
  </si>
  <si>
    <t>cariamiformes</t>
  </si>
  <si>
    <t>ciconiiformes</t>
  </si>
  <si>
    <t>passeriformes</t>
  </si>
  <si>
    <t>ground</t>
  </si>
  <si>
    <t>water</t>
  </si>
  <si>
    <t>shorebird</t>
  </si>
  <si>
    <t>arboreal</t>
  </si>
  <si>
    <t>commonName</t>
  </si>
  <si>
    <t>VanCoppenolle</t>
  </si>
  <si>
    <t>Type</t>
  </si>
  <si>
    <t>CommonName</t>
  </si>
  <si>
    <t>Species</t>
  </si>
  <si>
    <t>OReilly</t>
  </si>
  <si>
    <t>Data too sparse</t>
  </si>
  <si>
    <t>tinaniformes</t>
  </si>
  <si>
    <t>ratites</t>
  </si>
  <si>
    <t>Vmax</t>
  </si>
  <si>
    <t>Include?</t>
  </si>
  <si>
    <t>Y</t>
  </si>
  <si>
    <t>N</t>
  </si>
  <si>
    <t>Juvenile, better data on ostriches from other studies</t>
  </si>
  <si>
    <t>See above</t>
  </si>
  <si>
    <t>Not wildtype species, no duty factor or contact duration estimates</t>
  </si>
  <si>
    <t>Data for stride frequency and stride length included</t>
  </si>
  <si>
    <t>Data for stride length and frequency included, DF not available</t>
  </si>
  <si>
    <t>No</t>
  </si>
  <si>
    <t>Data too sparse, other data available</t>
  </si>
  <si>
    <t>Included, but missing hip height and segment length information estimated from other studies and general scaling trend</t>
  </si>
  <si>
    <t>Speeds too low</t>
  </si>
  <si>
    <t>lengthIdx</t>
  </si>
  <si>
    <t>*Note</t>
  </si>
  <si>
    <t>Posture Idx</t>
  </si>
  <si>
    <t>Birn-Jeffery</t>
  </si>
  <si>
    <t xml:space="preserve">Bobwhite quail hip height from Gatesy and Birn-jeffery each result in outlier posture index in different directions. </t>
  </si>
  <si>
    <t>Since hip height is a less reliable measure than segment lengths,  take averages from the two studies for the scaling of HH</t>
  </si>
  <si>
    <t>For studies that did not report body mass or segment lengths, species-averaged values were used from Zeffer 2003 and Gatesy &amp; Middleton 1997</t>
  </si>
  <si>
    <t>For studies that did not report hip height, this was estimated based on the general scaling trend of hip height against body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</si>
</sst>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rgb="FF222222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8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0" fontId="0" fillId="4" borderId="0" xfId="0" applyFill="1"/>
    <xf numFmtId="2" fontId="1" fillId="0" borderId="0" xfId="0" applyNumberFormat="1" applyFont="1"/>
    <xf numFmtId="164" fontId="0" fillId="0" borderId="0" xfId="0" applyNumberFormat="1"/>
    <xf numFmtId="0" fontId="5" fillId="4" borderId="0" xfId="0" applyFont="1" applyFill="1"/>
    <xf numFmtId="164" fontId="1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0" fontId="0" fillId="5" borderId="0" xfId="0" applyFill="1"/>
    <xf numFmtId="164" fontId="0" fillId="5" borderId="0" xfId="0" applyNumberFormat="1" applyFill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164" fontId="0" fillId="4" borderId="0" xfId="0" applyNumberFormat="1" applyFill="1"/>
    <xf numFmtId="2" fontId="0" fillId="4" borderId="0" xfId="0" applyNumberFormat="1" applyFill="1"/>
    <xf numFmtId="0" fontId="5" fillId="2" borderId="0" xfId="0" applyFont="1" applyFill="1"/>
    <xf numFmtId="0" fontId="0" fillId="6" borderId="0" xfId="0" applyFill="1"/>
    <xf numFmtId="164" fontId="0" fillId="6" borderId="0" xfId="0" applyNumberFormat="1" applyFill="1"/>
    <xf numFmtId="2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2" fontId="0" fillId="7" borderId="0" xfId="0" applyNumberFormat="1" applyFill="1"/>
    <xf numFmtId="0" fontId="6" fillId="7" borderId="0" xfId="0" applyFont="1" applyFill="1"/>
    <xf numFmtId="0" fontId="0" fillId="8" borderId="0" xfId="0" applyFill="1"/>
    <xf numFmtId="164" fontId="0" fillId="8" borderId="0" xfId="0" applyNumberFormat="1" applyFill="1"/>
    <xf numFmtId="2" fontId="0" fillId="8" borderId="0" xfId="0" applyNumberFormat="1" applyFill="1"/>
    <xf numFmtId="0" fontId="0" fillId="9" borderId="0" xfId="0" applyFill="1"/>
    <xf numFmtId="2" fontId="0" fillId="9" borderId="0" xfId="0" applyNumberFormat="1" applyFill="1"/>
    <xf numFmtId="164" fontId="0" fillId="9" borderId="0" xfId="0" applyNumberFormat="1" applyFill="1"/>
    <xf numFmtId="2" fontId="5" fillId="0" borderId="0" xfId="0" applyNumberFormat="1" applyFont="1"/>
    <xf numFmtId="164" fontId="4" fillId="0" borderId="0" xfId="0" applyNumberFormat="1" applyFont="1"/>
  </cellXfs>
  <cellStyles count="82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5" builtinId="9" hidden="1"/>
    <cellStyle name="Followed Hyperlink" xfId="596" builtinId="9" hidden="1"/>
    <cellStyle name="Followed Hyperlink" xfId="597" builtinId="9" hidden="1"/>
    <cellStyle name="Followed Hyperlink" xfId="598" builtinId="9" hidden="1"/>
    <cellStyle name="Followed Hyperlink" xfId="599" builtinId="9" hidden="1"/>
    <cellStyle name="Followed Hyperlink" xfId="600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topLeftCell="H1" workbookViewId="0">
      <selection activeCell="AE55" sqref="AE55"/>
    </sheetView>
  </sheetViews>
  <sheetFormatPr baseColWidth="10" defaultRowHeight="16" x14ac:dyDescent="0.2"/>
  <cols>
    <col min="5" max="5" width="10.83203125" customWidth="1"/>
    <col min="7" max="7" width="9.5" customWidth="1"/>
    <col min="8" max="12" width="7.83203125" style="8" customWidth="1"/>
    <col min="13" max="16" width="8.33203125" style="2" customWidth="1"/>
    <col min="17" max="17" width="7.5" customWidth="1"/>
    <col min="18" max="18" width="6" customWidth="1"/>
    <col min="19" max="19" width="6.83203125" customWidth="1"/>
    <col min="20" max="21" width="10.83203125" style="2"/>
  </cols>
  <sheetData>
    <row r="1" spans="1:21" s="1" customFormat="1" x14ac:dyDescent="0.2">
      <c r="A1" s="1" t="s">
        <v>66</v>
      </c>
      <c r="B1" s="1" t="s">
        <v>0</v>
      </c>
      <c r="C1" s="1" t="s">
        <v>108</v>
      </c>
      <c r="D1" s="1" t="s">
        <v>67</v>
      </c>
      <c r="E1" s="1" t="s">
        <v>121</v>
      </c>
      <c r="F1" s="1" t="s">
        <v>1</v>
      </c>
      <c r="G1" s="1" t="s">
        <v>2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52</v>
      </c>
      <c r="M1" s="7" t="s">
        <v>3</v>
      </c>
      <c r="N1" s="7" t="s">
        <v>106</v>
      </c>
      <c r="O1" s="7" t="s">
        <v>107</v>
      </c>
      <c r="P1" s="7" t="s">
        <v>109</v>
      </c>
      <c r="Q1" s="1" t="s">
        <v>15</v>
      </c>
      <c r="R1" s="1" t="s">
        <v>16</v>
      </c>
      <c r="S1" s="1" t="s">
        <v>17</v>
      </c>
      <c r="T1" s="7" t="s">
        <v>9</v>
      </c>
      <c r="U1" s="7" t="s">
        <v>10</v>
      </c>
    </row>
    <row r="2" spans="1:21" s="3" customFormat="1" x14ac:dyDescent="0.2">
      <c r="A2" t="s">
        <v>65</v>
      </c>
      <c r="B2" t="s">
        <v>4</v>
      </c>
      <c r="C2">
        <v>2001</v>
      </c>
      <c r="D2" t="s">
        <v>68</v>
      </c>
      <c r="E2" t="s">
        <v>13</v>
      </c>
      <c r="F2">
        <v>0.15</v>
      </c>
      <c r="G2">
        <v>0.06</v>
      </c>
      <c r="H2" s="11">
        <v>4.1415489158461362E-2</v>
      </c>
      <c r="I2" s="11">
        <v>5.3375426088526738E-2</v>
      </c>
      <c r="J2" s="11">
        <v>3.289488458196612E-2</v>
      </c>
      <c r="K2" s="11">
        <v>3.3079569246954529E-2</v>
      </c>
      <c r="L2" s="8">
        <f>SUM(H2:J2)</f>
        <v>0.12768579982895423</v>
      </c>
      <c r="M2" s="2">
        <f>0.2*(F2^0.33333)</f>
        <v>0.10626652891732212</v>
      </c>
      <c r="N2" s="2">
        <f>0.2004*(F2^0.4069)</f>
        <v>9.2608158948027777E-2</v>
      </c>
      <c r="O2" s="2">
        <f>(0.9553*L2)- 0.0381</f>
        <v>8.3878244576599981E-2</v>
      </c>
      <c r="P2" s="2">
        <f>G2/L2</f>
        <v>0.46990346679407574</v>
      </c>
      <c r="Q2" s="2">
        <f>SQRT(9.81*G2)</f>
        <v>0.76720271115266536</v>
      </c>
      <c r="R2" s="2">
        <f>1/SQRT(9.81/G2)</f>
        <v>7.8206188700577495E-2</v>
      </c>
      <c r="S2" s="2">
        <f>1/R2</f>
        <v>12.786711852544423</v>
      </c>
      <c r="T2" s="2"/>
      <c r="U2" s="2"/>
    </row>
    <row r="3" spans="1:21" x14ac:dyDescent="0.2">
      <c r="A3" t="s">
        <v>65</v>
      </c>
      <c r="B3" t="s">
        <v>4</v>
      </c>
      <c r="C3">
        <v>2001</v>
      </c>
      <c r="D3" t="s">
        <v>69</v>
      </c>
      <c r="E3" t="s">
        <v>11</v>
      </c>
      <c r="F3">
        <v>0.93</v>
      </c>
      <c r="G3">
        <v>0.14000000000000001</v>
      </c>
      <c r="H3">
        <v>5.1110000000000003E-2</v>
      </c>
      <c r="I3">
        <v>8.2150000000000001E-2</v>
      </c>
      <c r="J3">
        <v>4.5579999999999996E-2</v>
      </c>
      <c r="K3" s="12">
        <f>(5.9*(F3^0.305))/100</f>
        <v>5.7708436880504491E-2</v>
      </c>
      <c r="L3" s="8">
        <f t="shared" ref="L3:L30" si="0">SUM(H3:J3)</f>
        <v>0.17884</v>
      </c>
      <c r="M3" s="2">
        <f t="shared" ref="M3:M30" si="1">0.2*(F3^0.33333)</f>
        <v>0.19522004875787646</v>
      </c>
      <c r="N3" s="2">
        <f t="shared" ref="N3:N30" si="2">0.2004*(F3^0.4069)</f>
        <v>0.1945689023973278</v>
      </c>
      <c r="O3" s="2">
        <f t="shared" ref="O3:O30" si="3">(0.9553*L3)- 0.0381</f>
        <v>0.132745852</v>
      </c>
      <c r="P3" s="2">
        <f t="shared" ref="P3:P30" si="4">G3/L3</f>
        <v>0.78282263475732505</v>
      </c>
      <c r="Q3" s="2">
        <f t="shared" ref="Q3:Q30" si="5">SQRT(9.81*G3)</f>
        <v>1.1719214990774767</v>
      </c>
      <c r="R3" s="2">
        <f t="shared" ref="R3:R30" si="6">1/SQRT(9.81/G3)</f>
        <v>0.1194619265114655</v>
      </c>
      <c r="S3" s="2">
        <f t="shared" ref="S3:S30" si="7">1/R3</f>
        <v>8.3708678505534042</v>
      </c>
    </row>
    <row r="4" spans="1:21" s="3" customFormat="1" x14ac:dyDescent="0.2">
      <c r="A4" t="s">
        <v>65</v>
      </c>
      <c r="B4" t="s">
        <v>4</v>
      </c>
      <c r="C4">
        <v>2001</v>
      </c>
      <c r="D4" t="s">
        <v>70</v>
      </c>
      <c r="E4" t="s">
        <v>5</v>
      </c>
      <c r="F4">
        <v>1.35</v>
      </c>
      <c r="G4">
        <v>0.23</v>
      </c>
      <c r="H4">
        <v>9.1999999999999998E-2</v>
      </c>
      <c r="I4">
        <v>0.122</v>
      </c>
      <c r="J4">
        <v>6.7000000000000004E-2</v>
      </c>
      <c r="K4">
        <v>5.8000000000000003E-2</v>
      </c>
      <c r="L4" s="8">
        <f t="shared" si="0"/>
        <v>0.28100000000000003</v>
      </c>
      <c r="M4" s="2">
        <f t="shared" si="1"/>
        <v>0.22104166879957951</v>
      </c>
      <c r="N4" s="2">
        <f t="shared" si="2"/>
        <v>0.22642820701985825</v>
      </c>
      <c r="O4" s="2">
        <f t="shared" si="3"/>
        <v>0.23033930000000005</v>
      </c>
      <c r="P4" s="2">
        <f t="shared" si="4"/>
        <v>0.81850533807829173</v>
      </c>
      <c r="Q4" s="2">
        <f t="shared" si="5"/>
        <v>1.5020985320544056</v>
      </c>
      <c r="R4" s="2">
        <f t="shared" si="6"/>
        <v>0.15311911641737061</v>
      </c>
      <c r="S4" s="2">
        <f t="shared" si="7"/>
        <v>6.5308631828452413</v>
      </c>
      <c r="T4" s="2">
        <v>0.308</v>
      </c>
      <c r="U4" s="2">
        <v>1.1499999999999999</v>
      </c>
    </row>
    <row r="5" spans="1:21" s="3" customFormat="1" x14ac:dyDescent="0.2">
      <c r="A5" t="s">
        <v>65</v>
      </c>
      <c r="B5" t="s">
        <v>4</v>
      </c>
      <c r="C5">
        <v>2001</v>
      </c>
      <c r="D5" t="s">
        <v>71</v>
      </c>
      <c r="E5" t="s">
        <v>6</v>
      </c>
      <c r="F5">
        <v>18</v>
      </c>
      <c r="G5">
        <v>0.81</v>
      </c>
      <c r="H5">
        <v>0.21</v>
      </c>
      <c r="I5">
        <v>0.32100000000000001</v>
      </c>
      <c r="J5">
        <v>0.30599999999999999</v>
      </c>
      <c r="K5">
        <v>0.126</v>
      </c>
      <c r="L5" s="8">
        <f t="shared" si="0"/>
        <v>0.83699999999999997</v>
      </c>
      <c r="M5" s="2">
        <f t="shared" si="1"/>
        <v>0.52414322892149923</v>
      </c>
      <c r="N5" s="2">
        <f t="shared" si="2"/>
        <v>0.649633032123626</v>
      </c>
      <c r="O5" s="2">
        <f t="shared" si="3"/>
        <v>0.76148609999999994</v>
      </c>
      <c r="P5" s="2">
        <f t="shared" si="4"/>
        <v>0.96774193548387111</v>
      </c>
      <c r="Q5" s="2">
        <f t="shared" si="5"/>
        <v>2.8188827574058486</v>
      </c>
      <c r="R5" s="2">
        <f t="shared" si="6"/>
        <v>0.28734788556634544</v>
      </c>
      <c r="S5" s="2">
        <f t="shared" si="7"/>
        <v>3.4801021696368499</v>
      </c>
      <c r="T5" s="2"/>
      <c r="U5" s="2"/>
    </row>
    <row r="6" spans="1:21" s="3" customFormat="1" x14ac:dyDescent="0.2">
      <c r="A6" t="s">
        <v>65</v>
      </c>
      <c r="B6" t="s">
        <v>4</v>
      </c>
      <c r="C6">
        <v>2000</v>
      </c>
      <c r="D6" t="s">
        <v>72</v>
      </c>
      <c r="E6" t="s">
        <v>7</v>
      </c>
      <c r="F6">
        <v>37</v>
      </c>
      <c r="G6">
        <v>0.9</v>
      </c>
      <c r="H6">
        <v>0.224</v>
      </c>
      <c r="I6">
        <v>0.39</v>
      </c>
      <c r="J6">
        <v>0.378</v>
      </c>
      <c r="K6">
        <v>0.16</v>
      </c>
      <c r="L6" s="8">
        <f t="shared" si="0"/>
        <v>0.99199999999999999</v>
      </c>
      <c r="M6" s="2">
        <f t="shared" si="1"/>
        <v>0.66643634879108393</v>
      </c>
      <c r="N6" s="2">
        <f t="shared" si="2"/>
        <v>0.87096158191974404</v>
      </c>
      <c r="O6" s="2">
        <f t="shared" si="3"/>
        <v>0.90955759999999997</v>
      </c>
      <c r="P6" s="2">
        <f t="shared" si="4"/>
        <v>0.90725806451612911</v>
      </c>
      <c r="Q6" s="2">
        <f t="shared" si="5"/>
        <v>2.9713633234594523</v>
      </c>
      <c r="R6" s="2">
        <f t="shared" si="6"/>
        <v>0.30289126640769132</v>
      </c>
      <c r="S6" s="2">
        <f t="shared" si="7"/>
        <v>3.3015148038438356</v>
      </c>
      <c r="T6" s="2">
        <v>0.2</v>
      </c>
      <c r="U6" s="2">
        <v>1.4</v>
      </c>
    </row>
    <row r="7" spans="1:21" s="3" customFormat="1" x14ac:dyDescent="0.2">
      <c r="A7" t="s">
        <v>65</v>
      </c>
      <c r="B7" t="s">
        <v>18</v>
      </c>
      <c r="C7">
        <v>2017</v>
      </c>
      <c r="D7" t="s">
        <v>73</v>
      </c>
      <c r="E7" t="s">
        <v>14</v>
      </c>
      <c r="F7">
        <v>1.7</v>
      </c>
      <c r="G7">
        <v>0.19</v>
      </c>
      <c r="H7" s="5">
        <v>8.4290021779484622E-2</v>
      </c>
      <c r="I7" s="5">
        <v>0.12975020973931739</v>
      </c>
      <c r="J7" s="5">
        <v>9.4455301652227083E-2</v>
      </c>
      <c r="K7" s="5">
        <v>6.5118886356052924E-2</v>
      </c>
      <c r="L7" s="8">
        <f>SUM(H7:J7)</f>
        <v>0.30849553317102912</v>
      </c>
      <c r="M7" s="2">
        <f>0.2*(F7^0.33333)</f>
        <v>0.23869621618857489</v>
      </c>
      <c r="N7" s="2">
        <f>0.2004*(F7^0.4069)</f>
        <v>0.24869518863629189</v>
      </c>
      <c r="O7" s="2">
        <f>(0.9553*L7)- 0.0381</f>
        <v>0.25660578283828411</v>
      </c>
      <c r="P7" s="2">
        <f>G7/L7</f>
        <v>0.61589222393915344</v>
      </c>
      <c r="Q7" s="2">
        <f>SQRT(9.81*G7)</f>
        <v>1.3652472303579304</v>
      </c>
      <c r="R7" s="2">
        <f>1/SQRT(9.81/G7)</f>
        <v>0.13916893275819883</v>
      </c>
      <c r="S7" s="2">
        <f>1/R7</f>
        <v>7.1855117387259488</v>
      </c>
      <c r="T7" s="2">
        <v>0.21050499125238778</v>
      </c>
      <c r="U7" s="2">
        <v>2.1754354823543975</v>
      </c>
    </row>
    <row r="8" spans="1:21" s="13" customFormat="1" x14ac:dyDescent="0.2">
      <c r="A8" t="s">
        <v>65</v>
      </c>
      <c r="B8" t="s">
        <v>22</v>
      </c>
      <c r="C8">
        <v>2007</v>
      </c>
      <c r="D8" t="s">
        <v>74</v>
      </c>
      <c r="E8" t="s">
        <v>60</v>
      </c>
      <c r="F8">
        <f>AVERAGE(0.623, 0.865)</f>
        <v>0.74399999999999999</v>
      </c>
      <c r="G8">
        <v>0.17</v>
      </c>
      <c r="H8" s="8">
        <v>5.6000000000000001E-2</v>
      </c>
      <c r="I8" s="8">
        <v>7.6999999999999999E-2</v>
      </c>
      <c r="J8" s="8">
        <v>4.6600000000000003E-2</v>
      </c>
      <c r="K8" s="12">
        <f>(5.9*(F8^0.305))/100</f>
        <v>5.3911542385906709E-2</v>
      </c>
      <c r="L8" s="8">
        <f t="shared" si="0"/>
        <v>0.17960000000000001</v>
      </c>
      <c r="M8" s="2">
        <f t="shared" si="1"/>
        <v>0.18122637448065285</v>
      </c>
      <c r="N8" s="2">
        <f t="shared" si="2"/>
        <v>0.17768089971699208</v>
      </c>
      <c r="O8" s="2">
        <f t="shared" si="3"/>
        <v>0.13347188000000001</v>
      </c>
      <c r="P8" s="2">
        <f t="shared" si="4"/>
        <v>0.94654788418708247</v>
      </c>
      <c r="Q8" s="2">
        <f t="shared" si="5"/>
        <v>1.2913945950018531</v>
      </c>
      <c r="R8" s="2">
        <f t="shared" si="6"/>
        <v>0.13164063149865984</v>
      </c>
      <c r="S8" s="2">
        <f t="shared" si="7"/>
        <v>7.5964387941285469</v>
      </c>
      <c r="T8" s="2"/>
      <c r="U8" s="2"/>
    </row>
    <row r="9" spans="1:21" x14ac:dyDescent="0.2">
      <c r="A9" t="s">
        <v>65</v>
      </c>
      <c r="B9" t="s">
        <v>19</v>
      </c>
      <c r="C9">
        <v>2004</v>
      </c>
      <c r="D9" t="s">
        <v>75</v>
      </c>
      <c r="E9" t="s">
        <v>8</v>
      </c>
      <c r="F9">
        <v>68.5</v>
      </c>
      <c r="G9">
        <v>0.83799999999999997</v>
      </c>
      <c r="H9" s="12">
        <v>0.2208063492063492</v>
      </c>
      <c r="I9" s="12">
        <v>0.41633968253968251</v>
      </c>
      <c r="J9" s="12">
        <v>0.29396507936507937</v>
      </c>
      <c r="K9" s="12">
        <v>9.211349206349205E-2</v>
      </c>
      <c r="L9" s="8">
        <f>SUM(H9:J9)</f>
        <v>0.931111111111111</v>
      </c>
      <c r="M9" s="2">
        <f>0.2*(F9^0.33333)</f>
        <v>0.81831541800144825</v>
      </c>
      <c r="N9" s="2">
        <f>0.2004*(F9^0.4069)</f>
        <v>1.1190260862624253</v>
      </c>
      <c r="O9" s="2">
        <f>(0.9553*L9)- 0.0381</f>
        <v>0.85139044444444434</v>
      </c>
      <c r="P9" s="2">
        <f>G9/L9</f>
        <v>0.9</v>
      </c>
      <c r="Q9" s="2">
        <f>SQRT(9.81*G9)</f>
        <v>2.8671902622602499</v>
      </c>
      <c r="R9" s="2">
        <f>1/SQRT(9.81/G9)</f>
        <v>0.29227219798779303</v>
      </c>
      <c r="S9" s="2">
        <f>1/R9</f>
        <v>3.4214680933893198</v>
      </c>
    </row>
    <row r="10" spans="1:21" s="13" customFormat="1" x14ac:dyDescent="0.2">
      <c r="A10" t="s">
        <v>65</v>
      </c>
      <c r="B10" t="s">
        <v>27</v>
      </c>
      <c r="C10">
        <v>2016</v>
      </c>
      <c r="D10" t="s">
        <v>76</v>
      </c>
      <c r="E10" t="s">
        <v>28</v>
      </c>
      <c r="F10">
        <v>0.33400000000000002</v>
      </c>
      <c r="G10">
        <v>0.154</v>
      </c>
      <c r="H10" s="11">
        <v>3.6900000000000002E-2</v>
      </c>
      <c r="I10" s="11">
        <v>0.1047</v>
      </c>
      <c r="J10" s="11">
        <v>8.4099999999999994E-2</v>
      </c>
      <c r="K10" s="12">
        <f>(5.9*(F10^0.305))/100</f>
        <v>4.2227433242669726E-2</v>
      </c>
      <c r="L10" s="8">
        <f t="shared" si="0"/>
        <v>0.22570000000000001</v>
      </c>
      <c r="M10" s="2">
        <f t="shared" si="1"/>
        <v>0.13876514871487056</v>
      </c>
      <c r="N10" s="2">
        <f t="shared" si="2"/>
        <v>0.12826558744979527</v>
      </c>
      <c r="O10" s="2">
        <f t="shared" si="3"/>
        <v>0.17751121000000003</v>
      </c>
      <c r="P10" s="2">
        <f t="shared" si="4"/>
        <v>0.6823216659282233</v>
      </c>
      <c r="Q10" s="2">
        <f t="shared" si="5"/>
        <v>1.2291216375932856</v>
      </c>
      <c r="R10" s="2">
        <f t="shared" si="6"/>
        <v>0.12529272554467744</v>
      </c>
      <c r="S10" s="2">
        <f t="shared" si="7"/>
        <v>7.9813093350213347</v>
      </c>
      <c r="T10" s="2"/>
      <c r="U10" s="2"/>
    </row>
    <row r="11" spans="1:21" s="13" customFormat="1" x14ac:dyDescent="0.2">
      <c r="A11" t="s">
        <v>65</v>
      </c>
      <c r="B11" t="s">
        <v>27</v>
      </c>
      <c r="C11">
        <v>2016</v>
      </c>
      <c r="D11" t="s">
        <v>77</v>
      </c>
      <c r="E11" t="s">
        <v>29</v>
      </c>
      <c r="F11">
        <v>0.45700000000000002</v>
      </c>
      <c r="G11">
        <v>0.1263</v>
      </c>
      <c r="H11" s="11">
        <v>4.4299999999999999E-2</v>
      </c>
      <c r="I11" s="11">
        <v>7.9399999999999998E-2</v>
      </c>
      <c r="J11" s="11">
        <v>4.9799999999999997E-2</v>
      </c>
      <c r="K11" s="12">
        <f>(5.9*(F11^0.305))/100</f>
        <v>4.6465054690712437E-2</v>
      </c>
      <c r="L11" s="8">
        <f t="shared" si="0"/>
        <v>0.17349999999999999</v>
      </c>
      <c r="M11" s="2">
        <f t="shared" si="1"/>
        <v>0.15405289448019208</v>
      </c>
      <c r="N11" s="2">
        <f t="shared" si="2"/>
        <v>0.14571948208396993</v>
      </c>
      <c r="O11" s="2">
        <f t="shared" si="3"/>
        <v>0.12764455</v>
      </c>
      <c r="P11" s="2">
        <f t="shared" si="4"/>
        <v>0.72795389048991355</v>
      </c>
      <c r="Q11" s="2">
        <f t="shared" si="5"/>
        <v>1.1131051163299899</v>
      </c>
      <c r="R11" s="2">
        <f t="shared" si="6"/>
        <v>0.11346637271457591</v>
      </c>
      <c r="S11" s="2">
        <f t="shared" si="7"/>
        <v>8.8131838189231182</v>
      </c>
      <c r="T11" s="2"/>
      <c r="U11" s="2"/>
    </row>
    <row r="12" spans="1:21" s="13" customFormat="1" x14ac:dyDescent="0.2">
      <c r="A12" t="s">
        <v>65</v>
      </c>
      <c r="B12" t="s">
        <v>27</v>
      </c>
      <c r="C12">
        <v>2016</v>
      </c>
      <c r="D12" t="s">
        <v>78</v>
      </c>
      <c r="E12" t="s">
        <v>30</v>
      </c>
      <c r="F12">
        <v>0.17</v>
      </c>
      <c r="G12">
        <v>0.13500000000000001</v>
      </c>
      <c r="H12" s="11">
        <v>3.5700000000000003E-2</v>
      </c>
      <c r="I12" s="11">
        <v>6.7100000000000007E-2</v>
      </c>
      <c r="J12" s="11">
        <v>4.9099999999999998E-2</v>
      </c>
      <c r="K12" s="12">
        <f>(5.9*(F12^0.305))/100</f>
        <v>3.4366787113854588E-2</v>
      </c>
      <c r="L12" s="8">
        <f t="shared" si="0"/>
        <v>0.15190000000000001</v>
      </c>
      <c r="M12" s="2">
        <f t="shared" si="1"/>
        <v>0.1107938195393786</v>
      </c>
      <c r="N12" s="2">
        <f t="shared" si="2"/>
        <v>9.7446755385620781E-2</v>
      </c>
      <c r="O12" s="2">
        <f t="shared" si="3"/>
        <v>0.10701007000000001</v>
      </c>
      <c r="P12" s="2">
        <f t="shared" si="4"/>
        <v>0.88874259381171827</v>
      </c>
      <c r="Q12" s="2">
        <f t="shared" si="5"/>
        <v>1.150804066728998</v>
      </c>
      <c r="R12" s="2">
        <f t="shared" si="6"/>
        <v>0.11730928305086626</v>
      </c>
      <c r="S12" s="2">
        <f t="shared" si="7"/>
        <v>8.5244745683629475</v>
      </c>
      <c r="T12" s="2"/>
      <c r="U12" s="2"/>
    </row>
    <row r="13" spans="1:21" x14ac:dyDescent="0.2">
      <c r="A13" t="s">
        <v>65</v>
      </c>
      <c r="B13" t="s">
        <v>20</v>
      </c>
      <c r="C13">
        <v>2011</v>
      </c>
      <c r="D13" t="s">
        <v>79</v>
      </c>
      <c r="E13" t="s">
        <v>21</v>
      </c>
      <c r="F13">
        <v>0.501</v>
      </c>
      <c r="G13">
        <v>0.11977526828516419</v>
      </c>
      <c r="H13">
        <v>5.8500000000000003E-2</v>
      </c>
      <c r="I13">
        <v>7.9500000000000001E-2</v>
      </c>
      <c r="J13">
        <v>4.1200000000000001E-2</v>
      </c>
      <c r="K13" s="12">
        <v>4.7786202377899906E-2</v>
      </c>
      <c r="L13" s="8">
        <f>SUM(H13:J13)</f>
        <v>0.17920000000000003</v>
      </c>
      <c r="M13" s="2">
        <f>0.2*(F13^0.33333)</f>
        <v>0.15884622741512255</v>
      </c>
      <c r="N13" s="2">
        <f>0.2004*(F13^0.4069)</f>
        <v>0.15127309337457934</v>
      </c>
      <c r="O13" s="2">
        <f>(0.9553*L13)- 0.0381</f>
        <v>0.13308976000000003</v>
      </c>
      <c r="P13" s="2">
        <f>G13/L13</f>
        <v>0.66838877391274654</v>
      </c>
      <c r="Q13" s="2">
        <f>SQRT(9.81*G13)</f>
        <v>1.0839720392507644</v>
      </c>
      <c r="R13" s="2">
        <f>1/SQRT(9.81/G13)</f>
        <v>0.1104966400867242</v>
      </c>
      <c r="S13" s="2">
        <f>1/R13</f>
        <v>9.0500489355616764</v>
      </c>
    </row>
    <row r="14" spans="1:21" s="3" customFormat="1" x14ac:dyDescent="0.2">
      <c r="A14" t="s">
        <v>65</v>
      </c>
      <c r="B14" t="s">
        <v>4</v>
      </c>
      <c r="C14">
        <v>2005</v>
      </c>
      <c r="D14" t="s">
        <v>80</v>
      </c>
      <c r="E14" t="s">
        <v>36</v>
      </c>
      <c r="F14" s="2">
        <v>0.5</v>
      </c>
      <c r="G14" s="2">
        <v>0.14000000000000001</v>
      </c>
      <c r="H14" s="8">
        <v>5.2906000000000022E-2</v>
      </c>
      <c r="I14" s="8">
        <v>7.4757999999999991E-2</v>
      </c>
      <c r="J14" s="8">
        <v>4.9933999999999999E-2</v>
      </c>
      <c r="K14" s="12">
        <f>(5.9*(F14^0.305))/100</f>
        <v>4.7757090776297098E-2</v>
      </c>
      <c r="L14" s="8">
        <f>SUM(H14:J14)</f>
        <v>0.17759800000000001</v>
      </c>
      <c r="M14" s="2">
        <f>0.2*(F14^0.33333)</f>
        <v>0.15874047196476485</v>
      </c>
      <c r="N14" s="2">
        <f>0.2004*(F14^0.4069)</f>
        <v>0.1511501602516428</v>
      </c>
      <c r="O14" s="2">
        <f>(0.9553*L14)- 0.0381</f>
        <v>0.13155936940000001</v>
      </c>
      <c r="P14" s="2">
        <f>G14/L14</f>
        <v>0.78829716550862061</v>
      </c>
      <c r="Q14" s="2">
        <f>SQRT(9.81*G14)</f>
        <v>1.1719214990774767</v>
      </c>
      <c r="R14" s="2">
        <f>1/SQRT(9.81/G14)</f>
        <v>0.1194619265114655</v>
      </c>
      <c r="S14" s="2">
        <f>1/R14</f>
        <v>8.3708678505534042</v>
      </c>
      <c r="T14" s="2">
        <v>0.2</v>
      </c>
      <c r="U14" s="2">
        <v>1.8</v>
      </c>
    </row>
    <row r="15" spans="1:21" s="3" customFormat="1" x14ac:dyDescent="0.2">
      <c r="A15" t="s">
        <v>65</v>
      </c>
      <c r="B15" t="s">
        <v>4</v>
      </c>
      <c r="C15">
        <v>2005</v>
      </c>
      <c r="D15" t="s">
        <v>81</v>
      </c>
      <c r="E15" t="s">
        <v>37</v>
      </c>
      <c r="F15" s="2">
        <v>0.8</v>
      </c>
      <c r="G15" s="2">
        <v>0.17</v>
      </c>
      <c r="H15" s="8">
        <v>6.8200999999999998E-2</v>
      </c>
      <c r="I15" s="8">
        <v>9.1885999999999995E-2</v>
      </c>
      <c r="J15" s="8">
        <v>5.9249999999999997E-2</v>
      </c>
      <c r="K15" s="12">
        <f>(5.9*(F15^0.305))/100</f>
        <v>5.5118127828602696E-2</v>
      </c>
      <c r="L15" s="8">
        <f>SUM(H15:J15)</f>
        <v>0.21933699999999998</v>
      </c>
      <c r="M15" s="2">
        <f>0.2*(F15^0.33333)</f>
        <v>0.18566369144331132</v>
      </c>
      <c r="N15" s="2">
        <f>0.2004*(F15^0.4069)</f>
        <v>0.18300587537145013</v>
      </c>
      <c r="O15" s="2">
        <f>(0.9553*L15)- 0.0381</f>
        <v>0.17143263609999998</v>
      </c>
      <c r="P15" s="2">
        <f>G15/L15</f>
        <v>0.77506303086118633</v>
      </c>
      <c r="Q15" s="2">
        <f>SQRT(9.81*G15)</f>
        <v>1.2913945950018531</v>
      </c>
      <c r="R15" s="2">
        <f>1/SQRT(9.81/G15)</f>
        <v>0.13164063149865984</v>
      </c>
      <c r="S15" s="2">
        <f>1/R15</f>
        <v>7.5964387941285469</v>
      </c>
      <c r="T15" s="2">
        <v>0.1</v>
      </c>
      <c r="U15" s="2">
        <v>2</v>
      </c>
    </row>
    <row r="16" spans="1:21" s="3" customFormat="1" x14ac:dyDescent="0.2">
      <c r="A16" t="s">
        <v>65</v>
      </c>
      <c r="B16" s="15" t="s">
        <v>4</v>
      </c>
      <c r="C16" s="15">
        <v>2005</v>
      </c>
      <c r="D16" s="15" t="s">
        <v>82</v>
      </c>
      <c r="E16" s="15" t="s">
        <v>38</v>
      </c>
      <c r="F16" s="34">
        <v>1.3</v>
      </c>
      <c r="G16" s="34">
        <v>0.23</v>
      </c>
      <c r="H16" s="8">
        <v>7.3445000000000024E-2</v>
      </c>
      <c r="I16" s="8">
        <v>0.108733</v>
      </c>
      <c r="J16" s="8">
        <v>7.1069000000000007E-2</v>
      </c>
      <c r="K16" s="12">
        <f>(5.9*(F16^0.305))/100</f>
        <v>6.391528563347007E-2</v>
      </c>
      <c r="L16" s="8">
        <f>SUM(H16:J16)</f>
        <v>0.253247</v>
      </c>
      <c r="M16" s="2">
        <f>0.2*(F16^0.33333)</f>
        <v>0.21827838571731065</v>
      </c>
      <c r="N16" s="2">
        <f>0.2004*(F16^0.4069)</f>
        <v>0.22297761570613861</v>
      </c>
      <c r="O16" s="2">
        <f>(0.9553*L16)- 0.0381</f>
        <v>0.20382685910000001</v>
      </c>
      <c r="P16" s="2">
        <f>G16/L16</f>
        <v>0.90820424328817329</v>
      </c>
      <c r="Q16" s="2">
        <f>SQRT(9.81*G16)</f>
        <v>1.5020985320544056</v>
      </c>
      <c r="R16" s="2">
        <f>1/SQRT(9.81/G16)</f>
        <v>0.15311911641737061</v>
      </c>
      <c r="S16" s="2">
        <f>1/R16</f>
        <v>6.5308631828452413</v>
      </c>
      <c r="T16" s="34">
        <v>0.1</v>
      </c>
      <c r="U16" s="34">
        <v>0.75</v>
      </c>
    </row>
    <row r="17" spans="1:21" s="3" customFormat="1" x14ac:dyDescent="0.2">
      <c r="A17" t="s">
        <v>65</v>
      </c>
      <c r="B17" t="s">
        <v>4</v>
      </c>
      <c r="C17">
        <v>2005</v>
      </c>
      <c r="D17" t="s">
        <v>83</v>
      </c>
      <c r="E17" t="s">
        <v>39</v>
      </c>
      <c r="F17" s="2">
        <v>1.3</v>
      </c>
      <c r="G17" s="2">
        <v>0.42</v>
      </c>
      <c r="H17" s="8">
        <v>7.5062000000000018E-2</v>
      </c>
      <c r="I17" s="8">
        <v>0.16535799999999998</v>
      </c>
      <c r="J17" s="8">
        <v>0.15340000000000001</v>
      </c>
      <c r="K17" s="12">
        <f>(5.9*(F17^0.305))/100</f>
        <v>6.391528563347007E-2</v>
      </c>
      <c r="L17" s="8">
        <f t="shared" si="0"/>
        <v>0.39382</v>
      </c>
      <c r="M17" s="2">
        <f t="shared" si="1"/>
        <v>0.21827838571731065</v>
      </c>
      <c r="N17" s="2">
        <f t="shared" si="2"/>
        <v>0.22297761570613861</v>
      </c>
      <c r="O17" s="2">
        <f t="shared" si="3"/>
        <v>0.33811624600000001</v>
      </c>
      <c r="P17" s="2">
        <f t="shared" si="4"/>
        <v>1.0664770707429789</v>
      </c>
      <c r="Q17" s="2">
        <f t="shared" si="5"/>
        <v>2.0298275788844724</v>
      </c>
      <c r="R17" s="2">
        <f t="shared" si="6"/>
        <v>0.20691412628791769</v>
      </c>
      <c r="S17" s="2">
        <f t="shared" si="7"/>
        <v>4.8329228068677921</v>
      </c>
      <c r="T17" s="2">
        <v>0.25</v>
      </c>
      <c r="U17" s="2">
        <v>1.5</v>
      </c>
    </row>
    <row r="18" spans="1:21" s="3" customFormat="1" x14ac:dyDescent="0.2">
      <c r="A18" t="s">
        <v>65</v>
      </c>
      <c r="B18" t="s">
        <v>4</v>
      </c>
      <c r="C18">
        <v>2005</v>
      </c>
      <c r="D18" t="s">
        <v>84</v>
      </c>
      <c r="E18" t="s">
        <v>40</v>
      </c>
      <c r="F18" s="2">
        <v>1.5</v>
      </c>
      <c r="G18" s="2">
        <v>0.53</v>
      </c>
      <c r="H18" s="8">
        <v>8.8699999999999987E-2</v>
      </c>
      <c r="I18" s="8">
        <v>0.224415</v>
      </c>
      <c r="J18" s="8">
        <v>0.208592</v>
      </c>
      <c r="K18" s="12">
        <f>(5.9*(F18^0.305))/100</f>
        <v>6.6766689893128006E-2</v>
      </c>
      <c r="L18" s="8">
        <f t="shared" si="0"/>
        <v>0.52170699999999992</v>
      </c>
      <c r="M18" s="2">
        <f t="shared" si="1"/>
        <v>0.22894253908308607</v>
      </c>
      <c r="N18" s="2">
        <f t="shared" si="2"/>
        <v>0.23634654091559371</v>
      </c>
      <c r="O18" s="2">
        <f t="shared" si="3"/>
        <v>0.46028669709999992</v>
      </c>
      <c r="P18" s="2">
        <f t="shared" si="4"/>
        <v>1.0158958955889035</v>
      </c>
      <c r="Q18" s="2">
        <f t="shared" si="5"/>
        <v>2.280197359879184</v>
      </c>
      <c r="R18" s="2">
        <f t="shared" si="6"/>
        <v>0.23243602037504424</v>
      </c>
      <c r="S18" s="2">
        <f t="shared" si="7"/>
        <v>4.3022591695833654</v>
      </c>
      <c r="T18" s="2">
        <v>0.25</v>
      </c>
      <c r="U18" s="2">
        <v>1.75</v>
      </c>
    </row>
    <row r="19" spans="1:21" x14ac:dyDescent="0.2">
      <c r="A19" t="s">
        <v>65</v>
      </c>
      <c r="B19" t="s">
        <v>105</v>
      </c>
      <c r="C19">
        <v>2014</v>
      </c>
      <c r="D19" t="s">
        <v>85</v>
      </c>
      <c r="E19" t="s">
        <v>33</v>
      </c>
      <c r="F19" s="2">
        <v>0.20269999999999999</v>
      </c>
      <c r="G19">
        <v>7.0000000000000007E-2</v>
      </c>
      <c r="H19">
        <v>5.8571428571428566E-2</v>
      </c>
      <c r="I19">
        <v>6.6285714285714295E-2</v>
      </c>
      <c r="J19">
        <v>3.8642857142857145E-2</v>
      </c>
      <c r="K19">
        <v>3.2285714285714286E-2</v>
      </c>
      <c r="L19" s="8">
        <f t="shared" ref="L19:L27" si="8">SUM(H19:J19)</f>
        <v>0.16350000000000001</v>
      </c>
      <c r="M19" s="2">
        <f t="shared" ref="M19:M27" si="9">0.2*(F19^0.33333)</f>
        <v>0.11748530690335211</v>
      </c>
      <c r="N19" s="2">
        <f t="shared" ref="N19:N27" si="10">0.2004*(F19^0.4069)</f>
        <v>0.10467826301551708</v>
      </c>
      <c r="O19" s="2">
        <f t="shared" ref="O19:O27" si="11">(0.9553*L19)- 0.0381</f>
        <v>0.11809155000000002</v>
      </c>
      <c r="P19" s="2">
        <f t="shared" ref="P19:P27" si="12">G19/L19</f>
        <v>0.42813455657492355</v>
      </c>
      <c r="Q19" s="2">
        <f t="shared" ref="Q19:Q27" si="13">SQRT(9.81*G19)</f>
        <v>0.82867363901598801</v>
      </c>
      <c r="R19" s="2">
        <f t="shared" ref="R19:R27" si="14">1/SQRT(9.81/G19)</f>
        <v>8.4472338329866267E-2</v>
      </c>
      <c r="S19" s="2">
        <f t="shared" ref="S19:S27" si="15">1/R19</f>
        <v>11.838194843085542</v>
      </c>
    </row>
    <row r="20" spans="1:21" x14ac:dyDescent="0.2">
      <c r="A20" t="s">
        <v>65</v>
      </c>
      <c r="B20" t="s">
        <v>105</v>
      </c>
      <c r="C20">
        <v>2014</v>
      </c>
      <c r="D20" t="s">
        <v>86</v>
      </c>
      <c r="E20" t="s">
        <v>34</v>
      </c>
      <c r="F20" s="2">
        <v>1.03</v>
      </c>
      <c r="G20">
        <v>0.19</v>
      </c>
      <c r="H20">
        <v>7.9500000000000001E-2</v>
      </c>
      <c r="I20">
        <v>0.107875</v>
      </c>
      <c r="J20">
        <v>6.9374999999999992E-2</v>
      </c>
      <c r="K20">
        <v>5.3124999999999999E-2</v>
      </c>
      <c r="L20" s="8">
        <f t="shared" si="8"/>
        <v>0.25675000000000003</v>
      </c>
      <c r="M20" s="2">
        <f t="shared" si="9"/>
        <v>0.2019803069090047</v>
      </c>
      <c r="N20" s="2">
        <f t="shared" si="10"/>
        <v>0.20282485955624341</v>
      </c>
      <c r="O20" s="2">
        <f t="shared" si="11"/>
        <v>0.20717327500000005</v>
      </c>
      <c r="P20" s="2">
        <f t="shared" si="12"/>
        <v>0.74001947419668934</v>
      </c>
      <c r="Q20" s="2">
        <f t="shared" si="13"/>
        <v>1.3652472303579304</v>
      </c>
      <c r="R20" s="2">
        <f t="shared" si="14"/>
        <v>0.13916893275819883</v>
      </c>
      <c r="S20" s="2">
        <f t="shared" si="15"/>
        <v>7.1855117387259488</v>
      </c>
    </row>
    <row r="21" spans="1:21" x14ac:dyDescent="0.2">
      <c r="A21" t="s">
        <v>65</v>
      </c>
      <c r="B21" t="s">
        <v>105</v>
      </c>
      <c r="C21">
        <v>2014</v>
      </c>
      <c r="D21" t="s">
        <v>73</v>
      </c>
      <c r="E21" t="s">
        <v>14</v>
      </c>
      <c r="F21" s="2">
        <v>1.3819999999999999</v>
      </c>
      <c r="G21">
        <v>0.18</v>
      </c>
      <c r="H21">
        <v>0.10129999999999999</v>
      </c>
      <c r="I21">
        <v>0.125</v>
      </c>
      <c r="J21">
        <v>7.8200000000000006E-2</v>
      </c>
      <c r="K21">
        <v>5.3699999999999991E-2</v>
      </c>
      <c r="L21" s="8">
        <f t="shared" si="8"/>
        <v>0.30449999999999999</v>
      </c>
      <c r="M21" s="2">
        <f t="shared" si="9"/>
        <v>0.22277453285438309</v>
      </c>
      <c r="N21" s="2">
        <f t="shared" si="10"/>
        <v>0.22859695435804558</v>
      </c>
      <c r="O21" s="2">
        <f t="shared" si="11"/>
        <v>0.25278885000000001</v>
      </c>
      <c r="P21" s="2">
        <f t="shared" si="12"/>
        <v>0.59113300492610832</v>
      </c>
      <c r="Q21" s="2">
        <f t="shared" si="13"/>
        <v>1.328834075421006</v>
      </c>
      <c r="R21" s="2">
        <f t="shared" si="14"/>
        <v>0.13545709229571926</v>
      </c>
      <c r="S21" s="2">
        <f t="shared" si="15"/>
        <v>7.382411530116701</v>
      </c>
    </row>
    <row r="22" spans="1:21" x14ac:dyDescent="0.2">
      <c r="A22" t="s">
        <v>65</v>
      </c>
      <c r="B22" t="s">
        <v>105</v>
      </c>
      <c r="C22">
        <v>2014</v>
      </c>
      <c r="D22" t="s">
        <v>87</v>
      </c>
      <c r="E22" t="s">
        <v>35</v>
      </c>
      <c r="F22" s="2">
        <v>3.03</v>
      </c>
      <c r="G22">
        <v>0.29299999999999998</v>
      </c>
      <c r="H22">
        <v>0.11958333333333333</v>
      </c>
      <c r="I22">
        <v>0.17583333333333331</v>
      </c>
      <c r="J22">
        <v>0.1225</v>
      </c>
      <c r="K22">
        <v>7.7083333333333337E-2</v>
      </c>
      <c r="L22" s="8">
        <f t="shared" si="8"/>
        <v>0.41791666666666666</v>
      </c>
      <c r="M22" s="2">
        <f t="shared" si="9"/>
        <v>0.2894071570418556</v>
      </c>
      <c r="N22" s="2">
        <f t="shared" si="10"/>
        <v>0.31462753136917665</v>
      </c>
      <c r="O22" s="2">
        <f t="shared" si="11"/>
        <v>0.36113579166666665</v>
      </c>
      <c r="P22" s="2">
        <f t="shared" si="12"/>
        <v>0.70109670987038886</v>
      </c>
      <c r="Q22" s="2">
        <f t="shared" si="13"/>
        <v>1.6953849120479987</v>
      </c>
      <c r="R22" s="2">
        <f t="shared" si="14"/>
        <v>0.17282211131987754</v>
      </c>
      <c r="S22" s="2">
        <f t="shared" si="15"/>
        <v>5.7862966281501658</v>
      </c>
    </row>
    <row r="23" spans="1:21" x14ac:dyDescent="0.2">
      <c r="A23" t="s">
        <v>65</v>
      </c>
      <c r="B23" t="s">
        <v>105</v>
      </c>
      <c r="C23">
        <v>2014</v>
      </c>
      <c r="D23" t="s">
        <v>75</v>
      </c>
      <c r="E23" t="s">
        <v>8</v>
      </c>
      <c r="F23" s="2">
        <v>116.8061</v>
      </c>
      <c r="G23">
        <v>1.26</v>
      </c>
      <c r="H23">
        <v>0.33200000000000002</v>
      </c>
      <c r="I23">
        <v>0.626</v>
      </c>
      <c r="J23">
        <v>0.442</v>
      </c>
      <c r="K23">
        <v>0.13849999999999998</v>
      </c>
      <c r="L23" s="8">
        <f t="shared" si="8"/>
        <v>1.4</v>
      </c>
      <c r="M23" s="2">
        <f t="shared" si="9"/>
        <v>0.9776384609407851</v>
      </c>
      <c r="N23" s="2">
        <f t="shared" si="10"/>
        <v>1.3904309899401088</v>
      </c>
      <c r="O23" s="2">
        <f t="shared" si="11"/>
        <v>1.29932</v>
      </c>
      <c r="P23" s="2">
        <f t="shared" si="12"/>
        <v>0.9</v>
      </c>
      <c r="Q23" s="2">
        <f t="shared" si="13"/>
        <v>3.5157644972324302</v>
      </c>
      <c r="R23" s="2">
        <f t="shared" si="14"/>
        <v>0.35838577953439649</v>
      </c>
      <c r="S23" s="2">
        <f t="shared" si="15"/>
        <v>2.7902892835178017</v>
      </c>
    </row>
    <row r="24" spans="1:21" s="9" customFormat="1" x14ac:dyDescent="0.2">
      <c r="A24" s="15" t="s">
        <v>65</v>
      </c>
      <c r="B24" t="s">
        <v>51</v>
      </c>
      <c r="C24">
        <v>1991</v>
      </c>
      <c r="D24" t="s">
        <v>85</v>
      </c>
      <c r="E24" t="s">
        <v>33</v>
      </c>
      <c r="F24" s="8">
        <v>0.17</v>
      </c>
      <c r="G24" s="8">
        <v>0.1</v>
      </c>
      <c r="H24" s="14">
        <v>3.6999999999999998E-2</v>
      </c>
      <c r="I24" s="14">
        <v>0.05</v>
      </c>
      <c r="J24" s="14">
        <v>3.1E-2</v>
      </c>
      <c r="K24" s="14">
        <v>3.2000000000000001E-2</v>
      </c>
      <c r="L24" s="8">
        <f t="shared" si="8"/>
        <v>0.11799999999999999</v>
      </c>
      <c r="M24" s="2">
        <f t="shared" si="9"/>
        <v>0.1107938195393786</v>
      </c>
      <c r="N24" s="2">
        <f t="shared" si="10"/>
        <v>9.7446755385620781E-2</v>
      </c>
      <c r="O24" s="2">
        <f t="shared" si="11"/>
        <v>7.4625400000000008E-2</v>
      </c>
      <c r="P24" s="2">
        <f t="shared" si="12"/>
        <v>0.84745762711864414</v>
      </c>
      <c r="Q24" s="2">
        <f t="shared" si="13"/>
        <v>0.99045444115315073</v>
      </c>
      <c r="R24" s="2">
        <f t="shared" si="14"/>
        <v>0.10096375546923043</v>
      </c>
      <c r="S24" s="2">
        <f t="shared" si="15"/>
        <v>9.9045444115315071</v>
      </c>
      <c r="T24" s="2">
        <v>0.23221663757923003</v>
      </c>
      <c r="U24" s="2">
        <v>2.0798533626661473</v>
      </c>
    </row>
    <row r="25" spans="1:21" x14ac:dyDescent="0.2">
      <c r="A25" t="s">
        <v>65</v>
      </c>
      <c r="B25" t="s">
        <v>51</v>
      </c>
      <c r="C25">
        <v>1991</v>
      </c>
      <c r="D25" t="s">
        <v>87</v>
      </c>
      <c r="E25" t="s">
        <v>35</v>
      </c>
      <c r="F25" s="8">
        <v>5.69</v>
      </c>
      <c r="G25" s="8">
        <v>0.39500000000000002</v>
      </c>
      <c r="H25" s="14">
        <v>0.115</v>
      </c>
      <c r="I25" s="14">
        <v>0.191</v>
      </c>
      <c r="J25" s="14">
        <v>0.13400000000000001</v>
      </c>
      <c r="K25" s="14">
        <v>9.0999999999999998E-2</v>
      </c>
      <c r="L25" s="8">
        <f t="shared" si="8"/>
        <v>0.44</v>
      </c>
      <c r="M25" s="2">
        <f t="shared" si="9"/>
        <v>0.35705208002398375</v>
      </c>
      <c r="N25" s="2">
        <f t="shared" si="10"/>
        <v>0.40658644742812761</v>
      </c>
      <c r="O25" s="2">
        <f t="shared" si="11"/>
        <v>0.38223200000000002</v>
      </c>
      <c r="P25" s="2">
        <f t="shared" si="12"/>
        <v>0.89772727272727282</v>
      </c>
      <c r="Q25" s="2">
        <f t="shared" si="13"/>
        <v>1.9684892684492847</v>
      </c>
      <c r="R25" s="2">
        <f t="shared" si="14"/>
        <v>0.20066149525476909</v>
      </c>
      <c r="S25" s="2">
        <f t="shared" si="15"/>
        <v>4.9835171353146448</v>
      </c>
      <c r="T25" s="2">
        <v>0.4521233690550493</v>
      </c>
      <c r="U25" s="2">
        <v>2.6924200629120913</v>
      </c>
    </row>
    <row r="26" spans="1:21" x14ac:dyDescent="0.2">
      <c r="A26" t="s">
        <v>65</v>
      </c>
      <c r="B26" t="s">
        <v>51</v>
      </c>
      <c r="C26">
        <v>1991</v>
      </c>
      <c r="D26" t="s">
        <v>71</v>
      </c>
      <c r="E26" t="s">
        <v>6</v>
      </c>
      <c r="F26" s="8">
        <v>20</v>
      </c>
      <c r="G26" s="8">
        <v>0.82</v>
      </c>
      <c r="H26" s="14">
        <v>0.21</v>
      </c>
      <c r="I26" s="14">
        <v>0.31900000000000001</v>
      </c>
      <c r="J26" s="14">
        <v>0.30599999999999999</v>
      </c>
      <c r="K26" s="14">
        <v>0.123</v>
      </c>
      <c r="L26" s="8">
        <f t="shared" si="8"/>
        <v>0.83499999999999996</v>
      </c>
      <c r="M26" s="2">
        <f t="shared" si="9"/>
        <v>0.542878102233743</v>
      </c>
      <c r="N26" s="2">
        <f t="shared" si="10"/>
        <v>0.67808919227745368</v>
      </c>
      <c r="O26" s="2">
        <f t="shared" si="11"/>
        <v>0.75957549999999996</v>
      </c>
      <c r="P26" s="2">
        <f t="shared" si="12"/>
        <v>0.98203592814371254</v>
      </c>
      <c r="Q26" s="2">
        <f t="shared" si="13"/>
        <v>2.8362298919516378</v>
      </c>
      <c r="R26" s="2">
        <f t="shared" si="14"/>
        <v>0.28911619693696616</v>
      </c>
      <c r="S26" s="2">
        <f t="shared" si="15"/>
        <v>3.4588169414044363</v>
      </c>
      <c r="T26" s="2">
        <f>0.86/Q26</f>
        <v>0.30321942605584257</v>
      </c>
      <c r="U26" s="2">
        <f>5.6/Q26</f>
        <v>1.9744520766426956</v>
      </c>
    </row>
    <row r="27" spans="1:21" s="13" customFormat="1" x14ac:dyDescent="0.2">
      <c r="A27" t="s">
        <v>65</v>
      </c>
      <c r="B27" t="s">
        <v>51</v>
      </c>
      <c r="C27">
        <v>1991</v>
      </c>
      <c r="D27" t="s">
        <v>75</v>
      </c>
      <c r="E27" t="s">
        <v>8</v>
      </c>
      <c r="F27" s="8">
        <v>90</v>
      </c>
      <c r="G27" s="8">
        <v>1.19</v>
      </c>
      <c r="H27" s="8">
        <v>0.29399999999999998</v>
      </c>
      <c r="I27" s="8">
        <v>0.52400000000000002</v>
      </c>
      <c r="J27" s="8">
        <v>0.47399999999999998</v>
      </c>
      <c r="K27" s="8">
        <v>0.25</v>
      </c>
      <c r="L27" s="8">
        <f t="shared" si="8"/>
        <v>1.292</v>
      </c>
      <c r="M27" s="2">
        <f t="shared" si="9"/>
        <v>0.89626750576664538</v>
      </c>
      <c r="N27" s="2">
        <f t="shared" si="10"/>
        <v>1.250486461848185</v>
      </c>
      <c r="O27" s="2">
        <f t="shared" si="11"/>
        <v>1.1961476</v>
      </c>
      <c r="P27" s="2">
        <f t="shared" si="12"/>
        <v>0.92105263157894735</v>
      </c>
      <c r="Q27" s="2">
        <f t="shared" si="13"/>
        <v>3.4167089428278787</v>
      </c>
      <c r="R27" s="2">
        <f t="shared" si="14"/>
        <v>0.3482883733769499</v>
      </c>
      <c r="S27" s="2">
        <f t="shared" si="15"/>
        <v>2.8711839855696462</v>
      </c>
      <c r="T27" s="2">
        <f>1.48/Q27</f>
        <v>0.43316537193099652</v>
      </c>
      <c r="U27" s="2">
        <f>7.63/Q27</f>
        <v>2.2331430998875024</v>
      </c>
    </row>
    <row r="28" spans="1:21" x14ac:dyDescent="0.2">
      <c r="A28" t="s">
        <v>65</v>
      </c>
      <c r="B28" t="s">
        <v>122</v>
      </c>
      <c r="C28">
        <v>2004</v>
      </c>
      <c r="D28" t="s">
        <v>89</v>
      </c>
      <c r="E28" t="s">
        <v>50</v>
      </c>
      <c r="F28" s="8">
        <v>3.5</v>
      </c>
      <c r="G28" s="8">
        <v>0.45865600000000001</v>
      </c>
      <c r="H28" s="8">
        <v>0.09</v>
      </c>
      <c r="I28" s="8">
        <v>0.24</v>
      </c>
      <c r="J28" s="8">
        <v>0.19</v>
      </c>
      <c r="K28" s="8">
        <v>8.5000000000000006E-2</v>
      </c>
      <c r="L28" s="8">
        <f t="shared" si="0"/>
        <v>0.52</v>
      </c>
      <c r="M28" s="2">
        <f t="shared" si="1"/>
        <v>0.30365762914814237</v>
      </c>
      <c r="N28" s="2">
        <f t="shared" si="2"/>
        <v>0.33364068520319845</v>
      </c>
      <c r="O28" s="2">
        <f t="shared" si="3"/>
        <v>0.45865600000000001</v>
      </c>
      <c r="P28" s="2">
        <f t="shared" si="4"/>
        <v>0.88203076923076917</v>
      </c>
      <c r="Q28" s="2">
        <f t="shared" si="5"/>
        <v>2.1211825381140588</v>
      </c>
      <c r="R28" s="2">
        <f t="shared" si="6"/>
        <v>0.2162265584214127</v>
      </c>
      <c r="S28" s="2">
        <f t="shared" si="7"/>
        <v>4.6247787843483108</v>
      </c>
    </row>
    <row r="29" spans="1:21" x14ac:dyDescent="0.2">
      <c r="A29" t="s">
        <v>65</v>
      </c>
      <c r="B29" t="s">
        <v>43</v>
      </c>
      <c r="C29">
        <v>2000</v>
      </c>
      <c r="D29" t="s">
        <v>90</v>
      </c>
      <c r="E29" t="s">
        <v>44</v>
      </c>
      <c r="F29" s="2">
        <v>0.24</v>
      </c>
      <c r="G29" s="2">
        <v>0.15</v>
      </c>
      <c r="H29" s="17">
        <v>4.2573332999999998E-2</v>
      </c>
      <c r="I29" s="17">
        <v>6.8659999999999999E-2</v>
      </c>
      <c r="J29" s="8">
        <v>4.5999999999999999E-2</v>
      </c>
      <c r="K29" s="12">
        <f>(5.9*(F29^0.305))/100</f>
        <v>3.8178287174345432E-2</v>
      </c>
      <c r="L29" s="8">
        <f t="shared" si="0"/>
        <v>0.15723333299999998</v>
      </c>
      <c r="M29" s="2">
        <f t="shared" si="1"/>
        <v>0.124289891490538</v>
      </c>
      <c r="N29" s="2">
        <f t="shared" si="2"/>
        <v>0.112125830145377</v>
      </c>
      <c r="O29" s="2">
        <f t="shared" si="3"/>
        <v>0.11210500301489998</v>
      </c>
      <c r="P29" s="2">
        <f t="shared" si="4"/>
        <v>0.95399618603772784</v>
      </c>
      <c r="Q29" s="2">
        <f t="shared" si="5"/>
        <v>1.2130539971493437</v>
      </c>
      <c r="R29" s="2">
        <f t="shared" si="6"/>
        <v>0.12365484170737448</v>
      </c>
      <c r="S29" s="2">
        <f t="shared" si="7"/>
        <v>8.0870266476622916</v>
      </c>
    </row>
    <row r="30" spans="1:21" x14ac:dyDescent="0.2">
      <c r="A30" t="s">
        <v>65</v>
      </c>
      <c r="B30" t="s">
        <v>91</v>
      </c>
      <c r="C30">
        <v>2000</v>
      </c>
      <c r="D30" t="s">
        <v>93</v>
      </c>
      <c r="E30" t="s">
        <v>92</v>
      </c>
      <c r="F30">
        <f>AVERAGE(0.118,0.122,0.125,0.128)</f>
        <v>0.12325</v>
      </c>
      <c r="G30">
        <v>9.2999999999999999E-2</v>
      </c>
      <c r="H30" s="5">
        <v>3.4450000000000001E-2</v>
      </c>
      <c r="I30" s="5">
        <v>4.3150000000000008E-2</v>
      </c>
      <c r="J30" s="5">
        <v>2.615E-2</v>
      </c>
      <c r="K30" s="12">
        <f>(5.9*(F30^0.305))/100</f>
        <v>3.1156023638063655E-2</v>
      </c>
      <c r="L30" s="8">
        <f t="shared" si="0"/>
        <v>0.10375000000000001</v>
      </c>
      <c r="M30" s="2">
        <f t="shared" si="1"/>
        <v>9.9531833034862668E-2</v>
      </c>
      <c r="N30" s="2">
        <f t="shared" si="2"/>
        <v>8.5494645954875784E-2</v>
      </c>
      <c r="O30" s="2">
        <f t="shared" si="3"/>
        <v>6.1012375000000015E-2</v>
      </c>
      <c r="P30" s="2">
        <f t="shared" si="4"/>
        <v>0.89638554216867461</v>
      </c>
      <c r="Q30" s="2">
        <f t="shared" si="5"/>
        <v>0.95515967251554335</v>
      </c>
      <c r="R30" s="2">
        <f t="shared" si="6"/>
        <v>9.7365919726355082E-2</v>
      </c>
      <c r="S30" s="2">
        <f t="shared" si="7"/>
        <v>10.270534113070358</v>
      </c>
    </row>
    <row r="32" spans="1:21" x14ac:dyDescent="0.2">
      <c r="B32" t="s">
        <v>101</v>
      </c>
      <c r="G32" s="16"/>
      <c r="H32" s="16"/>
      <c r="I32" s="16"/>
      <c r="J32" s="16"/>
    </row>
    <row r="33" spans="2:10" x14ac:dyDescent="0.2">
      <c r="B33" t="s">
        <v>96</v>
      </c>
      <c r="H33"/>
      <c r="I33"/>
      <c r="J33"/>
    </row>
    <row r="34" spans="2:10" x14ac:dyDescent="0.2">
      <c r="B34" t="s">
        <v>97</v>
      </c>
    </row>
    <row r="35" spans="2:10" x14ac:dyDescent="0.2">
      <c r="B35" t="s">
        <v>98</v>
      </c>
      <c r="J35" s="16"/>
    </row>
    <row r="36" spans="2:10" x14ac:dyDescent="0.2">
      <c r="B36" t="s">
        <v>99</v>
      </c>
    </row>
    <row r="37" spans="2:10" x14ac:dyDescent="0.2">
      <c r="B37" t="s">
        <v>100</v>
      </c>
    </row>
  </sheetData>
  <sortState xmlns:xlrd2="http://schemas.microsoft.com/office/spreadsheetml/2017/richdata2" ref="A2:U32">
    <sortCondition ref="B2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G27"/>
  <sheetViews>
    <sheetView workbookViewId="0">
      <selection activeCell="H36" sqref="H36"/>
    </sheetView>
  </sheetViews>
  <sheetFormatPr baseColWidth="10" defaultRowHeight="16" x14ac:dyDescent="0.2"/>
  <cols>
    <col min="6" max="6" width="10.83203125" customWidth="1"/>
    <col min="8" max="8" width="9.5" customWidth="1"/>
    <col min="9" max="13" width="7.83203125" style="8" customWidth="1"/>
    <col min="14" max="18" width="8.33203125" style="2" customWidth="1"/>
  </cols>
  <sheetData>
    <row r="1" spans="1:215" s="1" customFormat="1" x14ac:dyDescent="0.2">
      <c r="A1" s="1" t="s">
        <v>0</v>
      </c>
      <c r="B1" s="1" t="s">
        <v>108</v>
      </c>
      <c r="C1" s="1" t="s">
        <v>125</v>
      </c>
      <c r="D1" s="1" t="s">
        <v>123</v>
      </c>
      <c r="E1" s="1" t="s">
        <v>110</v>
      </c>
      <c r="F1" s="1" t="s">
        <v>124</v>
      </c>
      <c r="G1" s="1" t="s">
        <v>1</v>
      </c>
      <c r="H1" s="1" t="s">
        <v>2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52</v>
      </c>
      <c r="N1" s="7" t="s">
        <v>3</v>
      </c>
      <c r="O1" s="7" t="s">
        <v>106</v>
      </c>
      <c r="P1" s="7" t="s">
        <v>107</v>
      </c>
      <c r="Q1" s="7" t="s">
        <v>109</v>
      </c>
      <c r="R1" s="7" t="s">
        <v>143</v>
      </c>
      <c r="S1" s="7" t="s">
        <v>130</v>
      </c>
    </row>
    <row r="2" spans="1:215" s="3" customFormat="1" x14ac:dyDescent="0.2">
      <c r="A2" s="28" t="s">
        <v>51</v>
      </c>
      <c r="B2" s="28">
        <v>1991</v>
      </c>
      <c r="C2" s="28" t="s">
        <v>88</v>
      </c>
      <c r="D2" s="28" t="s">
        <v>117</v>
      </c>
      <c r="E2" s="28" t="s">
        <v>111</v>
      </c>
      <c r="F2" s="28" t="s">
        <v>53</v>
      </c>
      <c r="G2" s="29">
        <v>4.4999999999999998E-2</v>
      </c>
      <c r="H2" s="29">
        <v>5.1999999999999998E-2</v>
      </c>
      <c r="I2" s="29">
        <v>2.5999999999999999E-2</v>
      </c>
      <c r="J2" s="29">
        <v>3.1E-2</v>
      </c>
      <c r="K2" s="29">
        <v>1.9E-2</v>
      </c>
      <c r="L2" s="29">
        <v>1.9E-2</v>
      </c>
      <c r="M2" s="29">
        <f t="shared" ref="M2:M27" si="0">SUM(I2:K2)</f>
        <v>7.5999999999999998E-2</v>
      </c>
      <c r="N2" s="30">
        <f t="shared" ref="N2:N27" si="1">0.2*(G2^0.33333)</f>
        <v>7.1138601444013821E-2</v>
      </c>
      <c r="O2" s="30">
        <f t="shared" ref="O2:O27" si="2">0.2004*(G2^0.4069)</f>
        <v>5.6740072848516648E-2</v>
      </c>
      <c r="P2" s="30">
        <f t="shared" ref="P2:P27" si="3">(0.9553*M2)- 0.0381</f>
        <v>3.4502799999999993E-2</v>
      </c>
      <c r="Q2" s="30">
        <f t="shared" ref="Q2:Q27" si="4">H2/M2</f>
        <v>0.68421052631578949</v>
      </c>
      <c r="R2" s="30">
        <f>M2/N2</f>
        <v>1.0683369992845881</v>
      </c>
      <c r="S2" s="2">
        <v>1.8738603310738899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</row>
    <row r="3" spans="1:215" s="21" customFormat="1" x14ac:dyDescent="0.2">
      <c r="A3" s="3" t="s">
        <v>4</v>
      </c>
      <c r="B3" s="3">
        <v>2001</v>
      </c>
      <c r="C3" s="3" t="s">
        <v>68</v>
      </c>
      <c r="D3" s="3" t="s">
        <v>117</v>
      </c>
      <c r="E3" s="3" t="s">
        <v>111</v>
      </c>
      <c r="F3" s="3" t="s">
        <v>13</v>
      </c>
      <c r="G3" s="3">
        <v>0.15</v>
      </c>
      <c r="H3" s="3">
        <v>0.06</v>
      </c>
      <c r="I3" s="11">
        <v>4.1415489158461362E-2</v>
      </c>
      <c r="J3" s="11">
        <v>5.3375426088526738E-2</v>
      </c>
      <c r="K3" s="11">
        <v>3.289488458196612E-2</v>
      </c>
      <c r="L3" s="11">
        <v>3.3079569246954529E-2</v>
      </c>
      <c r="M3" s="11">
        <f t="shared" si="0"/>
        <v>0.12768579982895423</v>
      </c>
      <c r="N3" s="4">
        <f t="shared" si="1"/>
        <v>0.10626652891732212</v>
      </c>
      <c r="O3" s="4">
        <f t="shared" si="2"/>
        <v>9.2608158948027777E-2</v>
      </c>
      <c r="P3" s="4">
        <f t="shared" si="3"/>
        <v>8.3878244576599981E-2</v>
      </c>
      <c r="Q3" s="4">
        <f t="shared" si="4"/>
        <v>0.46990346679407574</v>
      </c>
      <c r="R3" s="30">
        <f t="shared" ref="R3:R27" si="5">M3/N3</f>
        <v>1.2015617817751139</v>
      </c>
      <c r="S3" s="2">
        <v>0.76780587075908502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</row>
    <row r="4" spans="1:215" s="28" customFormat="1" x14ac:dyDescent="0.2">
      <c r="A4" s="24" t="s">
        <v>27</v>
      </c>
      <c r="B4" s="24">
        <v>2016</v>
      </c>
      <c r="C4" s="24" t="s">
        <v>78</v>
      </c>
      <c r="D4" s="24" t="s">
        <v>119</v>
      </c>
      <c r="E4" s="24" t="s">
        <v>113</v>
      </c>
      <c r="F4" s="24" t="s">
        <v>30</v>
      </c>
      <c r="G4" s="24">
        <v>0.17</v>
      </c>
      <c r="H4" s="24">
        <v>0.13500000000000001</v>
      </c>
      <c r="I4" s="25">
        <v>3.5700000000000003E-2</v>
      </c>
      <c r="J4" s="25">
        <v>6.7100000000000007E-2</v>
      </c>
      <c r="K4" s="25">
        <v>4.9099999999999998E-2</v>
      </c>
      <c r="L4" s="25">
        <f>(5.9*(G4^0.305))/100</f>
        <v>3.4366787113854588E-2</v>
      </c>
      <c r="M4" s="25">
        <f t="shared" si="0"/>
        <v>0.15190000000000001</v>
      </c>
      <c r="N4" s="26">
        <f t="shared" si="1"/>
        <v>0.1107938195393786</v>
      </c>
      <c r="O4" s="26">
        <f t="shared" si="2"/>
        <v>9.7446755385620781E-2</v>
      </c>
      <c r="P4" s="26">
        <f t="shared" si="3"/>
        <v>0.10701007000000001</v>
      </c>
      <c r="Q4" s="26">
        <f t="shared" si="4"/>
        <v>0.88874259381171827</v>
      </c>
      <c r="R4" s="30">
        <f t="shared" si="5"/>
        <v>1.371015103834482</v>
      </c>
      <c r="S4" s="2">
        <v>1.80034201799837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</row>
    <row r="5" spans="1:215" s="3" customFormat="1" x14ac:dyDescent="0.2">
      <c r="A5" s="3" t="s">
        <v>105</v>
      </c>
      <c r="B5" s="3">
        <v>2014</v>
      </c>
      <c r="C5" s="3" t="s">
        <v>85</v>
      </c>
      <c r="D5" s="3" t="s">
        <v>117</v>
      </c>
      <c r="E5" s="3" t="s">
        <v>111</v>
      </c>
      <c r="F5" s="3" t="s">
        <v>33</v>
      </c>
      <c r="G5" s="4">
        <v>0.18635000000000002</v>
      </c>
      <c r="H5" s="3">
        <v>8.5000000000000006E-2</v>
      </c>
      <c r="I5" s="3">
        <v>4.7785714285714279E-2</v>
      </c>
      <c r="J5" s="3">
        <v>5.8142857142857149E-2</v>
      </c>
      <c r="K5" s="3">
        <v>3.4821428571428573E-2</v>
      </c>
      <c r="L5" s="3">
        <v>3.214285714285714E-2</v>
      </c>
      <c r="M5" s="11">
        <f t="shared" si="0"/>
        <v>0.14074999999999999</v>
      </c>
      <c r="N5" s="4">
        <f t="shared" si="1"/>
        <v>0.11423755346616359</v>
      </c>
      <c r="O5" s="4">
        <f t="shared" si="2"/>
        <v>0.10115672231534871</v>
      </c>
      <c r="P5" s="4">
        <f t="shared" si="3"/>
        <v>9.6358474999999999E-2</v>
      </c>
      <c r="Q5" s="4">
        <f t="shared" si="4"/>
        <v>0.60390763765541755</v>
      </c>
      <c r="R5" s="30">
        <f t="shared" si="5"/>
        <v>1.2320817080671218</v>
      </c>
      <c r="S5" s="2">
        <v>2.1321543179946798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</row>
    <row r="6" spans="1:215" s="3" customFormat="1" x14ac:dyDescent="0.2">
      <c r="A6" s="24" t="s">
        <v>43</v>
      </c>
      <c r="B6" s="24">
        <v>2000</v>
      </c>
      <c r="C6" s="24" t="s">
        <v>90</v>
      </c>
      <c r="D6" s="24" t="s">
        <v>120</v>
      </c>
      <c r="E6" s="24" t="s">
        <v>116</v>
      </c>
      <c r="F6" s="24" t="s">
        <v>44</v>
      </c>
      <c r="G6" s="26">
        <v>0.24</v>
      </c>
      <c r="H6" s="26">
        <v>0.15</v>
      </c>
      <c r="I6" s="27">
        <v>4.2573332999999998E-2</v>
      </c>
      <c r="J6" s="27">
        <v>6.8659999999999999E-2</v>
      </c>
      <c r="K6" s="25">
        <v>4.5999999999999999E-2</v>
      </c>
      <c r="L6" s="25">
        <f>(5.9*(G6^0.305))/100</f>
        <v>3.8178287174345432E-2</v>
      </c>
      <c r="M6" s="25">
        <f t="shared" si="0"/>
        <v>0.15723333299999998</v>
      </c>
      <c r="N6" s="26">
        <f t="shared" si="1"/>
        <v>0.124289891490538</v>
      </c>
      <c r="O6" s="26">
        <f t="shared" si="2"/>
        <v>0.112125830145377</v>
      </c>
      <c r="P6" s="26">
        <f t="shared" si="3"/>
        <v>0.11210500301489998</v>
      </c>
      <c r="Q6" s="26">
        <f t="shared" si="4"/>
        <v>0.95399618603772784</v>
      </c>
      <c r="R6" s="30">
        <f t="shared" si="5"/>
        <v>1.2650532647055204</v>
      </c>
      <c r="S6" s="2">
        <v>1.76777353327336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</row>
    <row r="7" spans="1:215" s="3" customFormat="1" x14ac:dyDescent="0.2">
      <c r="A7" s="24" t="s">
        <v>27</v>
      </c>
      <c r="B7" s="24">
        <v>2016</v>
      </c>
      <c r="C7" s="24" t="s">
        <v>76</v>
      </c>
      <c r="D7" s="24" t="s">
        <v>119</v>
      </c>
      <c r="E7" s="24" t="s">
        <v>113</v>
      </c>
      <c r="F7" s="24" t="s">
        <v>28</v>
      </c>
      <c r="G7" s="24">
        <v>0.33400000000000002</v>
      </c>
      <c r="H7" s="24">
        <v>0.154</v>
      </c>
      <c r="I7" s="25">
        <v>3.6900000000000002E-2</v>
      </c>
      <c r="J7" s="25">
        <v>0.1047</v>
      </c>
      <c r="K7" s="25">
        <v>8.4099999999999994E-2</v>
      </c>
      <c r="L7" s="25">
        <f>(5.9*(G7^0.305))/100</f>
        <v>4.2227433242669726E-2</v>
      </c>
      <c r="M7" s="25">
        <f t="shared" si="0"/>
        <v>0.22570000000000001</v>
      </c>
      <c r="N7" s="26">
        <f t="shared" si="1"/>
        <v>0.13876514871487056</v>
      </c>
      <c r="O7" s="26">
        <f t="shared" si="2"/>
        <v>0.12826558744979527</v>
      </c>
      <c r="P7" s="26">
        <f t="shared" si="3"/>
        <v>0.17751121000000003</v>
      </c>
      <c r="Q7" s="26">
        <f t="shared" si="4"/>
        <v>0.6823216659282233</v>
      </c>
      <c r="R7" s="30">
        <f t="shared" si="5"/>
        <v>1.6264890867069219</v>
      </c>
      <c r="S7" s="2">
        <v>1.1111554993807899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</row>
    <row r="8" spans="1:215" s="3" customFormat="1" x14ac:dyDescent="0.2">
      <c r="A8" s="24" t="s">
        <v>27</v>
      </c>
      <c r="B8" s="24">
        <v>2016</v>
      </c>
      <c r="C8" s="24" t="s">
        <v>77</v>
      </c>
      <c r="D8" s="24" t="s">
        <v>119</v>
      </c>
      <c r="E8" s="24" t="s">
        <v>113</v>
      </c>
      <c r="F8" s="24" t="s">
        <v>29</v>
      </c>
      <c r="G8" s="24">
        <v>0.45700000000000002</v>
      </c>
      <c r="H8" s="24">
        <v>0.1263</v>
      </c>
      <c r="I8" s="25">
        <v>4.4299999999999999E-2</v>
      </c>
      <c r="J8" s="25">
        <v>7.9399999999999998E-2</v>
      </c>
      <c r="K8" s="25">
        <v>4.9799999999999997E-2</v>
      </c>
      <c r="L8" s="25">
        <f>(5.9*(G8^0.305))/100</f>
        <v>4.6465054690712437E-2</v>
      </c>
      <c r="M8" s="25">
        <f t="shared" si="0"/>
        <v>0.17349999999999999</v>
      </c>
      <c r="N8" s="26">
        <f t="shared" si="1"/>
        <v>0.15405289448019208</v>
      </c>
      <c r="O8" s="26">
        <f t="shared" si="2"/>
        <v>0.14571948208396993</v>
      </c>
      <c r="P8" s="26">
        <f t="shared" si="3"/>
        <v>0.12764455</v>
      </c>
      <c r="Q8" s="26">
        <f t="shared" si="4"/>
        <v>0.72795389048991355</v>
      </c>
      <c r="R8" s="30">
        <f t="shared" si="5"/>
        <v>1.1262365474237057</v>
      </c>
      <c r="S8" s="2">
        <v>1.84651742833824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</row>
    <row r="9" spans="1:215" s="20" customFormat="1" x14ac:dyDescent="0.2">
      <c r="A9" s="31" t="s">
        <v>4</v>
      </c>
      <c r="B9" s="31">
        <v>2005</v>
      </c>
      <c r="C9" s="31" t="s">
        <v>80</v>
      </c>
      <c r="D9" s="31" t="s">
        <v>117</v>
      </c>
      <c r="E9" s="31" t="s">
        <v>128</v>
      </c>
      <c r="F9" s="31" t="s">
        <v>36</v>
      </c>
      <c r="G9" s="32">
        <v>0.5</v>
      </c>
      <c r="H9" s="32">
        <v>0.14000000000000001</v>
      </c>
      <c r="I9" s="33">
        <v>5.2906000000000022E-2</v>
      </c>
      <c r="J9" s="33">
        <v>7.4757999999999991E-2</v>
      </c>
      <c r="K9" s="33">
        <v>4.9933999999999999E-2</v>
      </c>
      <c r="L9" s="33">
        <f>(5.9*(G9^0.305))/100</f>
        <v>4.7757090776297098E-2</v>
      </c>
      <c r="M9" s="33">
        <f t="shared" si="0"/>
        <v>0.17759800000000001</v>
      </c>
      <c r="N9" s="32">
        <f t="shared" si="1"/>
        <v>0.15874047196476485</v>
      </c>
      <c r="O9" s="32">
        <f t="shared" si="2"/>
        <v>0.1511501602516428</v>
      </c>
      <c r="P9" s="32">
        <f t="shared" si="3"/>
        <v>0.13155936940000001</v>
      </c>
      <c r="Q9" s="32">
        <f t="shared" si="4"/>
        <v>0.78829716550862061</v>
      </c>
      <c r="R9" s="30">
        <f t="shared" si="5"/>
        <v>1.1187947081285037</v>
      </c>
      <c r="S9" s="2">
        <v>1.6845487925689899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</row>
    <row r="10" spans="1:215" s="3" customFormat="1" x14ac:dyDescent="0.2">
      <c r="A10" s="3" t="s">
        <v>20</v>
      </c>
      <c r="B10" s="3">
        <v>2011</v>
      </c>
      <c r="C10" s="3" t="s">
        <v>79</v>
      </c>
      <c r="D10" s="3" t="s">
        <v>117</v>
      </c>
      <c r="E10" s="3" t="s">
        <v>111</v>
      </c>
      <c r="F10" s="3" t="s">
        <v>21</v>
      </c>
      <c r="G10" s="3">
        <v>0.501</v>
      </c>
      <c r="H10" s="3">
        <v>0.11977526828516419</v>
      </c>
      <c r="I10" s="3">
        <v>5.8500000000000003E-2</v>
      </c>
      <c r="J10" s="3">
        <v>7.9500000000000001E-2</v>
      </c>
      <c r="K10" s="3">
        <v>4.1200000000000001E-2</v>
      </c>
      <c r="L10" s="11">
        <v>4.7786202377899906E-2</v>
      </c>
      <c r="M10" s="11">
        <f t="shared" si="0"/>
        <v>0.17920000000000003</v>
      </c>
      <c r="N10" s="4">
        <f t="shared" si="1"/>
        <v>0.15884622741512255</v>
      </c>
      <c r="O10" s="4">
        <f t="shared" si="2"/>
        <v>0.15127309337457934</v>
      </c>
      <c r="P10" s="4">
        <f t="shared" si="3"/>
        <v>0.13308976000000003</v>
      </c>
      <c r="Q10" s="4">
        <f t="shared" si="4"/>
        <v>0.66838877391274654</v>
      </c>
      <c r="R10" s="30">
        <f t="shared" si="5"/>
        <v>1.1281350707290374</v>
      </c>
      <c r="S10" s="2">
        <v>1.5077007595940899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</row>
    <row r="11" spans="1:215" s="21" customFormat="1" x14ac:dyDescent="0.2">
      <c r="A11" s="31" t="s">
        <v>22</v>
      </c>
      <c r="B11" s="31">
        <v>2007</v>
      </c>
      <c r="C11" s="31" t="s">
        <v>74</v>
      </c>
      <c r="D11" s="31" t="s">
        <v>117</v>
      </c>
      <c r="E11" s="31" t="s">
        <v>128</v>
      </c>
      <c r="F11" s="31" t="s">
        <v>60</v>
      </c>
      <c r="G11" s="31">
        <f>AVERAGE(0.623, 0.865)</f>
        <v>0.74399999999999999</v>
      </c>
      <c r="H11" s="31">
        <v>0.17</v>
      </c>
      <c r="I11" s="33">
        <v>5.6000000000000001E-2</v>
      </c>
      <c r="J11" s="33">
        <v>7.6999999999999999E-2</v>
      </c>
      <c r="K11" s="33">
        <v>4.6600000000000003E-2</v>
      </c>
      <c r="L11" s="33">
        <f>(5.9*(G11^0.305))/100</f>
        <v>5.3911542385906709E-2</v>
      </c>
      <c r="M11" s="33">
        <f t="shared" si="0"/>
        <v>0.17960000000000001</v>
      </c>
      <c r="N11" s="32">
        <f t="shared" si="1"/>
        <v>0.18122637448065285</v>
      </c>
      <c r="O11" s="32">
        <f t="shared" si="2"/>
        <v>0.17768089971699208</v>
      </c>
      <c r="P11" s="32">
        <f t="shared" si="3"/>
        <v>0.13347188000000001</v>
      </c>
      <c r="Q11" s="32">
        <f t="shared" si="4"/>
        <v>0.94654788418708247</v>
      </c>
      <c r="R11" s="30">
        <f t="shared" si="5"/>
        <v>0.9910257296416507</v>
      </c>
      <c r="S11" s="2">
        <v>2.0594856321524402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</row>
    <row r="12" spans="1:215" s="21" customFormat="1" x14ac:dyDescent="0.2">
      <c r="A12" s="31" t="s">
        <v>4</v>
      </c>
      <c r="B12" s="31">
        <v>2005</v>
      </c>
      <c r="C12" s="31" t="s">
        <v>81</v>
      </c>
      <c r="D12" s="31" t="s">
        <v>117</v>
      </c>
      <c r="E12" s="31" t="s">
        <v>128</v>
      </c>
      <c r="F12" s="31" t="s">
        <v>37</v>
      </c>
      <c r="G12" s="32">
        <v>0.8</v>
      </c>
      <c r="H12" s="32">
        <v>0.17</v>
      </c>
      <c r="I12" s="33">
        <v>6.8200999999999998E-2</v>
      </c>
      <c r="J12" s="33">
        <v>9.1885999999999995E-2</v>
      </c>
      <c r="K12" s="33">
        <v>5.9249999999999997E-2</v>
      </c>
      <c r="L12" s="33">
        <f>(5.9*(G12^0.305))/100</f>
        <v>5.5118127828602696E-2</v>
      </c>
      <c r="M12" s="33">
        <f t="shared" si="0"/>
        <v>0.21933699999999998</v>
      </c>
      <c r="N12" s="32">
        <f t="shared" si="1"/>
        <v>0.18566369144331132</v>
      </c>
      <c r="O12" s="32">
        <f t="shared" si="2"/>
        <v>0.18300587537145013</v>
      </c>
      <c r="P12" s="32">
        <f t="shared" si="3"/>
        <v>0.17143263609999998</v>
      </c>
      <c r="Q12" s="32">
        <f t="shared" si="4"/>
        <v>0.77506303086118633</v>
      </c>
      <c r="R12" s="30">
        <f t="shared" si="5"/>
        <v>1.1813672253035543</v>
      </c>
      <c r="S12" s="2">
        <v>1.7438538597097799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</row>
    <row r="13" spans="1:215" s="21" customFormat="1" x14ac:dyDescent="0.2">
      <c r="A13" s="3" t="s">
        <v>105</v>
      </c>
      <c r="B13" s="3">
        <v>2014</v>
      </c>
      <c r="C13" s="3" t="s">
        <v>86</v>
      </c>
      <c r="D13" s="3" t="s">
        <v>117</v>
      </c>
      <c r="E13" s="3" t="s">
        <v>111</v>
      </c>
      <c r="F13" s="3" t="s">
        <v>34</v>
      </c>
      <c r="G13" s="4">
        <v>1.03</v>
      </c>
      <c r="H13" s="3">
        <v>0.19</v>
      </c>
      <c r="I13" s="3">
        <v>7.9500000000000001E-2</v>
      </c>
      <c r="J13" s="3">
        <v>0.107875</v>
      </c>
      <c r="K13" s="3">
        <v>6.9374999999999992E-2</v>
      </c>
      <c r="L13" s="3">
        <v>5.3124999999999999E-2</v>
      </c>
      <c r="M13" s="11">
        <f t="shared" si="0"/>
        <v>0.25675000000000003</v>
      </c>
      <c r="N13" s="4">
        <f t="shared" si="1"/>
        <v>0.2019803069090047</v>
      </c>
      <c r="O13" s="4">
        <f t="shared" si="2"/>
        <v>0.20282485955624341</v>
      </c>
      <c r="P13" s="4">
        <f t="shared" si="3"/>
        <v>0.20717327500000005</v>
      </c>
      <c r="Q13" s="4">
        <f t="shared" si="4"/>
        <v>0.74001947419668934</v>
      </c>
      <c r="R13" s="30">
        <f t="shared" si="5"/>
        <v>1.271163530391455</v>
      </c>
      <c r="S13" s="26">
        <v>2.2967186807872202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</row>
    <row r="14" spans="1:215" s="21" customFormat="1" x14ac:dyDescent="0.2">
      <c r="A14" s="24" t="s">
        <v>4</v>
      </c>
      <c r="B14" s="24">
        <v>2005</v>
      </c>
      <c r="C14" s="24" t="s">
        <v>83</v>
      </c>
      <c r="D14" s="24" t="s">
        <v>117</v>
      </c>
      <c r="E14" s="24" t="s">
        <v>114</v>
      </c>
      <c r="F14" s="24" t="s">
        <v>39</v>
      </c>
      <c r="G14" s="26">
        <v>1.3</v>
      </c>
      <c r="H14" s="26">
        <v>0.42</v>
      </c>
      <c r="I14" s="25">
        <v>7.5062000000000018E-2</v>
      </c>
      <c r="J14" s="25">
        <v>0.16535799999999998</v>
      </c>
      <c r="K14" s="25">
        <v>0.15340000000000001</v>
      </c>
      <c r="L14" s="25">
        <f>(5.9*(G14^0.305))/100</f>
        <v>6.391528563347007E-2</v>
      </c>
      <c r="M14" s="25">
        <f t="shared" si="0"/>
        <v>0.39382</v>
      </c>
      <c r="N14" s="26">
        <f t="shared" si="1"/>
        <v>0.21827838571731065</v>
      </c>
      <c r="O14" s="26">
        <f t="shared" si="2"/>
        <v>0.22297761570613861</v>
      </c>
      <c r="P14" s="26">
        <f t="shared" si="3"/>
        <v>0.33811624600000001</v>
      </c>
      <c r="Q14" s="26">
        <f t="shared" si="4"/>
        <v>1.0664770707429789</v>
      </c>
      <c r="R14" s="30">
        <f t="shared" si="5"/>
        <v>1.8042097879083223</v>
      </c>
      <c r="S14" s="2">
        <v>1.51281058728664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</row>
    <row r="15" spans="1:215" s="21" customFormat="1" x14ac:dyDescent="0.2">
      <c r="A15" s="3" t="s">
        <v>105</v>
      </c>
      <c r="B15" s="3">
        <v>2014</v>
      </c>
      <c r="C15" s="3" t="s">
        <v>73</v>
      </c>
      <c r="D15" s="3" t="s">
        <v>117</v>
      </c>
      <c r="E15" s="3" t="s">
        <v>111</v>
      </c>
      <c r="F15" s="3" t="s">
        <v>14</v>
      </c>
      <c r="G15" s="4">
        <v>1.3819999999999999</v>
      </c>
      <c r="H15" s="3">
        <v>0.18</v>
      </c>
      <c r="I15" s="3">
        <v>0.10129999999999999</v>
      </c>
      <c r="J15" s="3">
        <v>0.125</v>
      </c>
      <c r="K15" s="3">
        <v>7.8200000000000006E-2</v>
      </c>
      <c r="L15" s="3">
        <v>5.3699999999999991E-2</v>
      </c>
      <c r="M15" s="11">
        <f t="shared" si="0"/>
        <v>0.30449999999999999</v>
      </c>
      <c r="N15" s="4">
        <f t="shared" si="1"/>
        <v>0.22277453285438309</v>
      </c>
      <c r="O15" s="4">
        <f t="shared" si="2"/>
        <v>0.22859695435804558</v>
      </c>
      <c r="P15" s="4">
        <f t="shared" si="3"/>
        <v>0.25278885000000001</v>
      </c>
      <c r="Q15" s="4">
        <f t="shared" si="4"/>
        <v>0.59113300492610832</v>
      </c>
      <c r="R15" s="30">
        <f t="shared" si="5"/>
        <v>1.3668528269298936</v>
      </c>
      <c r="S15" s="2">
        <v>2.2388009119857499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</row>
    <row r="16" spans="1:215" s="3" customFormat="1" x14ac:dyDescent="0.2">
      <c r="A16" s="24" t="s">
        <v>4</v>
      </c>
      <c r="B16" s="24">
        <v>2005</v>
      </c>
      <c r="C16" s="24" t="s">
        <v>84</v>
      </c>
      <c r="D16" s="24" t="s">
        <v>117</v>
      </c>
      <c r="E16" s="24" t="s">
        <v>114</v>
      </c>
      <c r="F16" s="24" t="s">
        <v>40</v>
      </c>
      <c r="G16" s="26">
        <v>1.5</v>
      </c>
      <c r="H16" s="26">
        <v>0.53</v>
      </c>
      <c r="I16" s="25">
        <v>8.8699999999999987E-2</v>
      </c>
      <c r="J16" s="25">
        <v>0.224415</v>
      </c>
      <c r="K16" s="25">
        <v>0.208592</v>
      </c>
      <c r="L16" s="25">
        <f>(5.9*(G16^0.305))/100</f>
        <v>6.6766689893128006E-2</v>
      </c>
      <c r="M16" s="25">
        <f t="shared" si="0"/>
        <v>0.52170699999999992</v>
      </c>
      <c r="N16" s="26">
        <f t="shared" si="1"/>
        <v>0.22894253908308607</v>
      </c>
      <c r="O16" s="26">
        <f t="shared" si="2"/>
        <v>0.23634654091559371</v>
      </c>
      <c r="P16" s="26">
        <f t="shared" si="3"/>
        <v>0.46028669709999992</v>
      </c>
      <c r="Q16" s="26">
        <f t="shared" si="4"/>
        <v>1.0158958955889035</v>
      </c>
      <c r="R16" s="30">
        <f t="shared" si="5"/>
        <v>2.2787682974489334</v>
      </c>
      <c r="S16" s="2">
        <v>1.7990638357383499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</row>
    <row r="17" spans="1:215" s="31" customFormat="1" x14ac:dyDescent="0.2">
      <c r="A17" s="3" t="s">
        <v>18</v>
      </c>
      <c r="B17" s="3">
        <v>2017</v>
      </c>
      <c r="C17" s="3" t="s">
        <v>73</v>
      </c>
      <c r="D17" s="3" t="s">
        <v>117</v>
      </c>
      <c r="E17" s="3" t="s">
        <v>111</v>
      </c>
      <c r="F17" s="3" t="s">
        <v>14</v>
      </c>
      <c r="G17" s="3">
        <v>1.7</v>
      </c>
      <c r="H17" s="3">
        <v>0.19</v>
      </c>
      <c r="I17" s="3">
        <v>8.4290021779484622E-2</v>
      </c>
      <c r="J17" s="3">
        <v>0.12975020973931739</v>
      </c>
      <c r="K17" s="3">
        <v>9.4455301652227083E-2</v>
      </c>
      <c r="L17" s="3">
        <v>6.5118886356052924E-2</v>
      </c>
      <c r="M17" s="11">
        <f t="shared" si="0"/>
        <v>0.30849553317102912</v>
      </c>
      <c r="N17" s="4">
        <f t="shared" si="1"/>
        <v>0.23869621618857489</v>
      </c>
      <c r="O17" s="4">
        <f t="shared" si="2"/>
        <v>0.24869518863629189</v>
      </c>
      <c r="P17" s="4">
        <f t="shared" si="3"/>
        <v>0.25660578283828411</v>
      </c>
      <c r="Q17" s="4">
        <f t="shared" si="4"/>
        <v>0.61589222393915344</v>
      </c>
      <c r="R17" s="30">
        <f t="shared" si="5"/>
        <v>1.2924190341053055</v>
      </c>
      <c r="S17" s="2">
        <v>1.9185598116945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</row>
    <row r="18" spans="1:215" s="31" customFormat="1" x14ac:dyDescent="0.2">
      <c r="A18" s="6" t="s">
        <v>25</v>
      </c>
      <c r="B18" s="6">
        <v>2008</v>
      </c>
      <c r="C18" s="6" t="s">
        <v>69</v>
      </c>
      <c r="D18" s="6" t="s">
        <v>118</v>
      </c>
      <c r="E18" s="6" t="s">
        <v>112</v>
      </c>
      <c r="F18" s="6" t="s">
        <v>11</v>
      </c>
      <c r="G18" s="6">
        <v>1.81</v>
      </c>
      <c r="H18" s="6">
        <v>0.16500000000000001</v>
      </c>
      <c r="I18" s="18">
        <v>9.1890525728306985E-2</v>
      </c>
      <c r="J18" s="18">
        <v>0.14453608311313279</v>
      </c>
      <c r="K18" s="18">
        <v>0.10736984890188271</v>
      </c>
      <c r="L18" s="18">
        <v>7.0703998821155356E-2</v>
      </c>
      <c r="M18" s="18">
        <f t="shared" si="0"/>
        <v>0.34379645774332251</v>
      </c>
      <c r="N18" s="19">
        <f t="shared" si="1"/>
        <v>0.24373729949497527</v>
      </c>
      <c r="O18" s="19">
        <f t="shared" si="2"/>
        <v>0.25512154089180217</v>
      </c>
      <c r="P18" s="19">
        <f t="shared" si="3"/>
        <v>0.29032875608219599</v>
      </c>
      <c r="Q18" s="19">
        <f t="shared" si="4"/>
        <v>0.4799351368628369</v>
      </c>
      <c r="R18" s="30">
        <f t="shared" si="5"/>
        <v>1.4105205007837136</v>
      </c>
      <c r="S18" s="26">
        <v>1.2235108427871999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</row>
    <row r="19" spans="1:215" s="31" customFormat="1" x14ac:dyDescent="0.2">
      <c r="A19" s="3" t="s">
        <v>105</v>
      </c>
      <c r="B19" s="3">
        <v>2014</v>
      </c>
      <c r="C19" s="3" t="s">
        <v>87</v>
      </c>
      <c r="D19" s="3" t="s">
        <v>117</v>
      </c>
      <c r="E19" s="3" t="s">
        <v>111</v>
      </c>
      <c r="F19" s="3" t="s">
        <v>35</v>
      </c>
      <c r="G19" s="4">
        <v>3.03</v>
      </c>
      <c r="H19" s="3">
        <v>0.29299999999999998</v>
      </c>
      <c r="I19" s="3">
        <v>0.11958333333333333</v>
      </c>
      <c r="J19" s="3">
        <v>0.17583333333333331</v>
      </c>
      <c r="K19" s="3">
        <v>0.1225</v>
      </c>
      <c r="L19" s="3">
        <v>7.7083333333333337E-2</v>
      </c>
      <c r="M19" s="11">
        <f t="shared" si="0"/>
        <v>0.41791666666666666</v>
      </c>
      <c r="N19" s="4">
        <f t="shared" si="1"/>
        <v>0.2894071570418556</v>
      </c>
      <c r="O19" s="4">
        <f t="shared" si="2"/>
        <v>0.31462753136917665</v>
      </c>
      <c r="P19" s="4">
        <f t="shared" si="3"/>
        <v>0.36113579166666665</v>
      </c>
      <c r="Q19" s="4">
        <f t="shared" si="4"/>
        <v>0.70109670987038886</v>
      </c>
      <c r="R19" s="30">
        <f t="shared" si="5"/>
        <v>1.4440439930316766</v>
      </c>
      <c r="S19" s="2">
        <v>1.68254732795456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</row>
    <row r="20" spans="1:215" s="24" customFormat="1" x14ac:dyDescent="0.2">
      <c r="A20" s="24" t="s">
        <v>122</v>
      </c>
      <c r="B20" s="24">
        <v>2004</v>
      </c>
      <c r="C20" s="24" t="s">
        <v>89</v>
      </c>
      <c r="D20" s="24" t="s">
        <v>118</v>
      </c>
      <c r="E20" s="24" t="s">
        <v>115</v>
      </c>
      <c r="F20" s="24" t="s">
        <v>50</v>
      </c>
      <c r="G20" s="25">
        <v>3.5</v>
      </c>
      <c r="H20" s="25">
        <v>0.45865600000000001</v>
      </c>
      <c r="I20" s="25">
        <v>0.09</v>
      </c>
      <c r="J20" s="25">
        <v>0.24</v>
      </c>
      <c r="K20" s="25">
        <v>0.19</v>
      </c>
      <c r="L20" s="25">
        <v>8.5000000000000006E-2</v>
      </c>
      <c r="M20" s="25">
        <f t="shared" si="0"/>
        <v>0.52</v>
      </c>
      <c r="N20" s="26">
        <f t="shared" si="1"/>
        <v>0.30365762914814237</v>
      </c>
      <c r="O20" s="26">
        <f t="shared" si="2"/>
        <v>0.33364068520319845</v>
      </c>
      <c r="P20" s="26">
        <f t="shared" si="3"/>
        <v>0.45865600000000001</v>
      </c>
      <c r="Q20" s="26">
        <f t="shared" si="4"/>
        <v>0.88203076923076917</v>
      </c>
      <c r="R20" s="30">
        <f t="shared" si="5"/>
        <v>1.712454916607127</v>
      </c>
      <c r="S20" s="2">
        <v>1.22134065219681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</row>
    <row r="21" spans="1:215" s="24" customFormat="1" x14ac:dyDescent="0.2">
      <c r="A21" s="3" t="s">
        <v>51</v>
      </c>
      <c r="B21" s="3">
        <v>1991</v>
      </c>
      <c r="C21" s="3" t="s">
        <v>87</v>
      </c>
      <c r="D21" s="3" t="s">
        <v>117</v>
      </c>
      <c r="E21" s="3" t="s">
        <v>111</v>
      </c>
      <c r="F21" s="3" t="s">
        <v>35</v>
      </c>
      <c r="G21" s="11">
        <v>5.69</v>
      </c>
      <c r="H21" s="11">
        <v>0.39500000000000002</v>
      </c>
      <c r="I21" s="11">
        <v>0.115</v>
      </c>
      <c r="J21" s="11">
        <v>0.191</v>
      </c>
      <c r="K21" s="11">
        <v>0.13400000000000001</v>
      </c>
      <c r="L21" s="11">
        <v>9.0999999999999998E-2</v>
      </c>
      <c r="M21" s="11">
        <f t="shared" si="0"/>
        <v>0.44</v>
      </c>
      <c r="N21" s="4">
        <f t="shared" si="1"/>
        <v>0.35705208002398375</v>
      </c>
      <c r="O21" s="4">
        <f t="shared" si="2"/>
        <v>0.40658644742812761</v>
      </c>
      <c r="P21" s="4">
        <f t="shared" si="3"/>
        <v>0.38223200000000002</v>
      </c>
      <c r="Q21" s="4">
        <f t="shared" si="4"/>
        <v>0.89772727272727282</v>
      </c>
      <c r="R21" s="30">
        <f t="shared" si="5"/>
        <v>1.2323132243633603</v>
      </c>
      <c r="S21" s="2">
        <v>2.5250352441041501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</row>
    <row r="22" spans="1:215" s="24" customFormat="1" x14ac:dyDescent="0.2">
      <c r="A22" s="21" t="s">
        <v>4</v>
      </c>
      <c r="B22" s="21">
        <v>2001</v>
      </c>
      <c r="C22" s="21" t="s">
        <v>71</v>
      </c>
      <c r="D22" s="3" t="s">
        <v>117</v>
      </c>
      <c r="E22" s="21" t="s">
        <v>129</v>
      </c>
      <c r="F22" s="21" t="s">
        <v>6</v>
      </c>
      <c r="G22" s="21">
        <v>18</v>
      </c>
      <c r="H22" s="21">
        <v>0.81</v>
      </c>
      <c r="I22" s="21">
        <v>0.21</v>
      </c>
      <c r="J22" s="21">
        <v>0.32100000000000001</v>
      </c>
      <c r="K22" s="21">
        <v>0.30599999999999999</v>
      </c>
      <c r="L22" s="21">
        <v>0.126</v>
      </c>
      <c r="M22" s="22">
        <f t="shared" si="0"/>
        <v>0.83699999999999997</v>
      </c>
      <c r="N22" s="23">
        <f t="shared" si="1"/>
        <v>0.52414322892149923</v>
      </c>
      <c r="O22" s="23">
        <f t="shared" si="2"/>
        <v>0.649633032123626</v>
      </c>
      <c r="P22" s="23">
        <f t="shared" si="3"/>
        <v>0.76148609999999994</v>
      </c>
      <c r="Q22" s="23">
        <f t="shared" si="4"/>
        <v>0.96774193548387111</v>
      </c>
      <c r="R22" s="30">
        <f t="shared" si="5"/>
        <v>1.5968917536571996</v>
      </c>
      <c r="S22" s="2">
        <v>1.25820186595151</v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</row>
    <row r="23" spans="1:215" s="24" customFormat="1" x14ac:dyDescent="0.2">
      <c r="A23" s="21" t="s">
        <v>51</v>
      </c>
      <c r="B23" s="21">
        <v>1991</v>
      </c>
      <c r="C23" s="21" t="s">
        <v>71</v>
      </c>
      <c r="D23" s="3" t="s">
        <v>117</v>
      </c>
      <c r="E23" s="21" t="s">
        <v>129</v>
      </c>
      <c r="F23" s="21" t="s">
        <v>6</v>
      </c>
      <c r="G23" s="22">
        <v>20</v>
      </c>
      <c r="H23" s="22">
        <v>0.82</v>
      </c>
      <c r="I23" s="22">
        <v>0.21</v>
      </c>
      <c r="J23" s="22">
        <v>0.31900000000000001</v>
      </c>
      <c r="K23" s="22">
        <v>0.30599999999999999</v>
      </c>
      <c r="L23" s="22">
        <v>0.123</v>
      </c>
      <c r="M23" s="22">
        <f t="shared" si="0"/>
        <v>0.83499999999999996</v>
      </c>
      <c r="N23" s="23">
        <f t="shared" si="1"/>
        <v>0.542878102233743</v>
      </c>
      <c r="O23" s="23">
        <f t="shared" si="2"/>
        <v>0.67808919227745368</v>
      </c>
      <c r="P23" s="23">
        <f t="shared" si="3"/>
        <v>0.75957549999999996</v>
      </c>
      <c r="Q23" s="23">
        <f t="shared" si="4"/>
        <v>0.98203592814371254</v>
      </c>
      <c r="R23" s="30">
        <f t="shared" si="5"/>
        <v>1.53809850971016</v>
      </c>
      <c r="S23" s="2">
        <v>1.9484262193650199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</row>
    <row r="24" spans="1:215" s="24" customFormat="1" x14ac:dyDescent="0.2">
      <c r="A24" s="21" t="s">
        <v>4</v>
      </c>
      <c r="B24" s="21">
        <v>2000</v>
      </c>
      <c r="C24" s="21" t="s">
        <v>72</v>
      </c>
      <c r="D24" s="3" t="s">
        <v>117</v>
      </c>
      <c r="E24" s="21" t="s">
        <v>129</v>
      </c>
      <c r="F24" s="21" t="s">
        <v>7</v>
      </c>
      <c r="G24" s="21">
        <v>37</v>
      </c>
      <c r="H24" s="21">
        <v>0.9</v>
      </c>
      <c r="I24" s="21">
        <v>0.224</v>
      </c>
      <c r="J24" s="21">
        <v>0.39</v>
      </c>
      <c r="K24" s="21">
        <v>0.378</v>
      </c>
      <c r="L24" s="21">
        <v>0.16</v>
      </c>
      <c r="M24" s="22">
        <f t="shared" si="0"/>
        <v>0.99199999999999999</v>
      </c>
      <c r="N24" s="23">
        <f t="shared" si="1"/>
        <v>0.66643634879108393</v>
      </c>
      <c r="O24" s="23">
        <f t="shared" si="2"/>
        <v>0.87096158191974404</v>
      </c>
      <c r="P24" s="23">
        <f t="shared" si="3"/>
        <v>0.90955759999999997</v>
      </c>
      <c r="Q24" s="23">
        <f t="shared" si="4"/>
        <v>0.90725806451612911</v>
      </c>
      <c r="R24" s="30">
        <f t="shared" si="5"/>
        <v>1.4885142471587705</v>
      </c>
      <c r="S24" s="2">
        <v>1.3468872926095099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</row>
    <row r="25" spans="1:215" s="24" customFormat="1" x14ac:dyDescent="0.2">
      <c r="A25" s="21" t="s">
        <v>51</v>
      </c>
      <c r="B25" s="21">
        <v>1991</v>
      </c>
      <c r="C25" s="21" t="s">
        <v>75</v>
      </c>
      <c r="D25" s="3" t="s">
        <v>117</v>
      </c>
      <c r="E25" s="21" t="s">
        <v>129</v>
      </c>
      <c r="F25" s="21" t="s">
        <v>8</v>
      </c>
      <c r="G25" s="22">
        <v>90</v>
      </c>
      <c r="H25" s="22">
        <v>1.19</v>
      </c>
      <c r="I25" s="22">
        <v>0.29399999999999998</v>
      </c>
      <c r="J25" s="22">
        <v>0.52400000000000002</v>
      </c>
      <c r="K25" s="22">
        <v>0.47399999999999998</v>
      </c>
      <c r="L25" s="22">
        <v>0.25</v>
      </c>
      <c r="M25" s="22">
        <f t="shared" si="0"/>
        <v>1.292</v>
      </c>
      <c r="N25" s="23">
        <f t="shared" si="1"/>
        <v>0.89626750576664538</v>
      </c>
      <c r="O25" s="23">
        <f t="shared" si="2"/>
        <v>1.250486461848185</v>
      </c>
      <c r="P25" s="23">
        <f t="shared" si="3"/>
        <v>1.1961476</v>
      </c>
      <c r="Q25" s="23">
        <f t="shared" si="4"/>
        <v>0.92105263157894735</v>
      </c>
      <c r="R25" s="30">
        <f t="shared" si="5"/>
        <v>1.441533907775508</v>
      </c>
      <c r="S25" s="2">
        <v>2.1389673094379802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</row>
    <row r="26" spans="1:215" s="21" customFormat="1" x14ac:dyDescent="0.2">
      <c r="A26" s="21" t="s">
        <v>18</v>
      </c>
      <c r="B26" s="21">
        <v>2016</v>
      </c>
      <c r="C26" s="21" t="s">
        <v>75</v>
      </c>
      <c r="D26" s="21" t="s">
        <v>117</v>
      </c>
      <c r="E26" s="21" t="s">
        <v>129</v>
      </c>
      <c r="F26" s="21" t="s">
        <v>8</v>
      </c>
      <c r="G26" s="21">
        <v>110.97</v>
      </c>
      <c r="H26" s="21">
        <v>1.26</v>
      </c>
      <c r="I26" s="22">
        <v>0.33200000000000002</v>
      </c>
      <c r="J26" s="22">
        <v>0.626</v>
      </c>
      <c r="K26" s="22">
        <v>0.442</v>
      </c>
      <c r="L26" s="22">
        <v>0.13849999999999998</v>
      </c>
      <c r="M26" s="22">
        <f t="shared" si="0"/>
        <v>1.4</v>
      </c>
      <c r="N26" s="23">
        <f t="shared" si="1"/>
        <v>0.96107741956352799</v>
      </c>
      <c r="O26" s="23">
        <f t="shared" si="2"/>
        <v>1.3617327113644995</v>
      </c>
      <c r="P26" s="23">
        <f t="shared" si="3"/>
        <v>1.29932</v>
      </c>
      <c r="Q26" s="23">
        <f t="shared" si="4"/>
        <v>0.9</v>
      </c>
      <c r="R26" s="30">
        <f t="shared" si="5"/>
        <v>1.4566984631017634</v>
      </c>
      <c r="S26" s="2">
        <v>3.0677869828309499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</row>
    <row r="27" spans="1:215" s="6" customFormat="1" x14ac:dyDescent="0.2">
      <c r="A27" s="21" t="s">
        <v>105</v>
      </c>
      <c r="B27" s="21">
        <v>2014</v>
      </c>
      <c r="C27" s="21" t="s">
        <v>75</v>
      </c>
      <c r="D27" s="3" t="s">
        <v>117</v>
      </c>
      <c r="E27" s="21" t="s">
        <v>129</v>
      </c>
      <c r="F27" s="21" t="s">
        <v>8</v>
      </c>
      <c r="G27" s="23">
        <v>116.8061</v>
      </c>
      <c r="H27" s="21">
        <v>1.26</v>
      </c>
      <c r="I27" s="21">
        <v>0.33200000000000002</v>
      </c>
      <c r="J27" s="21">
        <v>0.626</v>
      </c>
      <c r="K27" s="21">
        <v>0.442</v>
      </c>
      <c r="L27" s="21">
        <v>0.13849999999999998</v>
      </c>
      <c r="M27" s="22">
        <f t="shared" si="0"/>
        <v>1.4</v>
      </c>
      <c r="N27" s="23">
        <f t="shared" si="1"/>
        <v>0.9776384609407851</v>
      </c>
      <c r="O27" s="23">
        <f t="shared" si="2"/>
        <v>1.3904309899401088</v>
      </c>
      <c r="P27" s="23">
        <f t="shared" si="3"/>
        <v>1.29932</v>
      </c>
      <c r="Q27" s="23">
        <f t="shared" si="4"/>
        <v>0.9</v>
      </c>
      <c r="R27" s="30">
        <f t="shared" si="5"/>
        <v>1.4320222208246336</v>
      </c>
      <c r="S27" s="2">
        <v>0.99318899712516195</v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</row>
  </sheetData>
  <sortState xmlns:xlrd2="http://schemas.microsoft.com/office/spreadsheetml/2017/richdata2" ref="A2:R27">
    <sortCondition ref="G2:G27"/>
  </sortState>
  <phoneticPr fontId="7" type="noConversion"/>
  <pageMargins left="0.75000000000000011" right="0.75000000000000011" top="1" bottom="1" header="0.5" footer="0.5"/>
  <pageSetup paperSize="9" scale="7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0"/>
  <sheetViews>
    <sheetView topLeftCell="A2" workbookViewId="0">
      <selection activeCell="O36" sqref="O36"/>
    </sheetView>
  </sheetViews>
  <sheetFormatPr baseColWidth="10" defaultRowHeight="16" x14ac:dyDescent="0.2"/>
  <cols>
    <col min="3" max="3" width="6.1640625" customWidth="1"/>
    <col min="4" max="4" width="5.6640625" customWidth="1"/>
    <col min="5" max="6" width="6.5" customWidth="1"/>
    <col min="7" max="9" width="7.83203125" style="8" customWidth="1"/>
    <col min="10" max="10" width="11.33203125" style="8" customWidth="1"/>
    <col min="11" max="11" width="7.83203125" style="8" customWidth="1"/>
    <col min="16" max="16" width="5.6640625" customWidth="1"/>
    <col min="17" max="17" width="6.83203125" customWidth="1"/>
    <col min="19" max="19" width="5.83203125" customWidth="1"/>
  </cols>
  <sheetData>
    <row r="1" spans="1:23" s="1" customFormat="1" x14ac:dyDescent="0.2">
      <c r="A1" s="1" t="s">
        <v>0</v>
      </c>
      <c r="B1" s="1" t="s">
        <v>108</v>
      </c>
      <c r="C1" s="1" t="s">
        <v>125</v>
      </c>
      <c r="D1" s="1" t="s">
        <v>123</v>
      </c>
      <c r="E1" s="1" t="s">
        <v>110</v>
      </c>
      <c r="F1" s="1" t="s">
        <v>124</v>
      </c>
      <c r="G1" s="1" t="s">
        <v>1</v>
      </c>
      <c r="H1" s="1" t="s">
        <v>2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52</v>
      </c>
      <c r="N1" s="1" t="s">
        <v>3</v>
      </c>
      <c r="O1" s="1" t="s">
        <v>145</v>
      </c>
      <c r="P1" s="7" t="s">
        <v>106</v>
      </c>
      <c r="Q1" s="7" t="s">
        <v>107</v>
      </c>
      <c r="R1" s="1" t="s">
        <v>130</v>
      </c>
      <c r="T1" s="1" t="s">
        <v>131</v>
      </c>
      <c r="U1" s="1" t="s">
        <v>31</v>
      </c>
    </row>
    <row r="2" spans="1:23" x14ac:dyDescent="0.2">
      <c r="A2" t="s">
        <v>20</v>
      </c>
      <c r="B2">
        <v>2011</v>
      </c>
      <c r="F2" t="s">
        <v>21</v>
      </c>
      <c r="G2">
        <v>0.501</v>
      </c>
      <c r="H2">
        <v>0.11977526828516419</v>
      </c>
      <c r="I2" s="8">
        <f>(7.6*(G2^0.32))/100</f>
        <v>6.0920248269746125E-2</v>
      </c>
      <c r="J2" s="8">
        <f>(11.4*(G2^0.4))/100</f>
        <v>8.6464919540697557E-2</v>
      </c>
      <c r="K2" s="8">
        <f>(8.1*(G2^0.475))/100</f>
        <v>5.8332143923882869E-2</v>
      </c>
      <c r="L2" s="8">
        <f>(5.9*(G2^0.305))/100</f>
        <v>4.7786202377899906E-2</v>
      </c>
      <c r="M2" s="8">
        <f>SUM(I2:L2)</f>
        <v>0.25350351411222649</v>
      </c>
      <c r="N2" s="2">
        <f>0.2*(G2^0.33333)</f>
        <v>0.15884622741512255</v>
      </c>
      <c r="O2" s="2">
        <f>H2/M2</f>
        <v>0.47247971573340575</v>
      </c>
      <c r="P2" s="2"/>
      <c r="Q2" s="2"/>
      <c r="S2" s="2"/>
      <c r="T2" t="s">
        <v>132</v>
      </c>
      <c r="U2" t="s">
        <v>141</v>
      </c>
      <c r="V2" s="2"/>
      <c r="W2" s="2"/>
    </row>
    <row r="3" spans="1:23" x14ac:dyDescent="0.2">
      <c r="A3" t="s">
        <v>4</v>
      </c>
      <c r="B3">
        <v>2001</v>
      </c>
      <c r="F3" t="s">
        <v>12</v>
      </c>
      <c r="G3">
        <v>1.32</v>
      </c>
      <c r="H3">
        <v>0.18</v>
      </c>
      <c r="I3" s="8">
        <f t="shared" ref="I3:I4" si="0">(7.6*(G3^0.32))/100</f>
        <v>8.3061018138707129E-2</v>
      </c>
      <c r="J3" s="8">
        <f t="shared" ref="J3:J4" si="1">(11.4*(G3^0.4))/100</f>
        <v>0.12738973196052591</v>
      </c>
      <c r="K3" s="8">
        <f t="shared" ref="K3:K4" si="2">(8.1*(G3^0.475))/100</f>
        <v>9.2418227781654191E-2</v>
      </c>
      <c r="L3" s="8">
        <f t="shared" ref="L3:L4" si="3">(5.9*(G3^0.305))/100</f>
        <v>6.4213606248018959E-2</v>
      </c>
      <c r="M3" s="8">
        <f t="shared" ref="M3:M5" si="4">SUM(I3:L3)</f>
        <v>0.36708258412890621</v>
      </c>
      <c r="N3">
        <f>0.2*(G3^0.33333)</f>
        <v>0.21939205906321627</v>
      </c>
      <c r="O3" s="2">
        <f t="shared" ref="O3:O22" si="5">H3/M3</f>
        <v>0.49035287366504554</v>
      </c>
      <c r="S3" s="2"/>
      <c r="T3" t="s">
        <v>133</v>
      </c>
      <c r="U3" t="s">
        <v>58</v>
      </c>
    </row>
    <row r="4" spans="1:23" x14ac:dyDescent="0.2">
      <c r="A4" t="s">
        <v>4</v>
      </c>
      <c r="B4">
        <v>2000</v>
      </c>
      <c r="F4" t="s">
        <v>8</v>
      </c>
      <c r="G4">
        <v>60</v>
      </c>
      <c r="H4">
        <v>1</v>
      </c>
      <c r="I4" s="8">
        <f t="shared" si="0"/>
        <v>0.28172279758369539</v>
      </c>
      <c r="J4" s="8">
        <f t="shared" si="1"/>
        <v>0.58636137083007478</v>
      </c>
      <c r="K4" s="8">
        <f t="shared" si="2"/>
        <v>0.56637863542589395</v>
      </c>
      <c r="L4" s="8">
        <f t="shared" si="3"/>
        <v>0.20567814321692507</v>
      </c>
      <c r="M4" s="8">
        <f t="shared" si="4"/>
        <v>1.6401409470565891</v>
      </c>
      <c r="N4">
        <f>0.2*(G4^0.33333)</f>
        <v>0.78296284242866632</v>
      </c>
      <c r="O4" s="2">
        <f t="shared" si="5"/>
        <v>0.60970369759660503</v>
      </c>
      <c r="R4">
        <v>1.4</v>
      </c>
      <c r="S4" s="2"/>
      <c r="T4" t="s">
        <v>133</v>
      </c>
      <c r="U4" t="s">
        <v>134</v>
      </c>
    </row>
    <row r="5" spans="1:23" x14ac:dyDescent="0.2">
      <c r="A5" t="s">
        <v>23</v>
      </c>
      <c r="B5">
        <v>2012</v>
      </c>
      <c r="F5" t="s">
        <v>24</v>
      </c>
      <c r="G5">
        <v>0.1729</v>
      </c>
      <c r="H5"/>
      <c r="I5" s="8">
        <f t="shared" ref="I5" si="6">(7.6*(G5^0.32))/100</f>
        <v>4.3341904425901238E-2</v>
      </c>
      <c r="J5" s="8">
        <f t="shared" ref="J5" si="7">(11.4*(G5^0.4))/100</f>
        <v>5.6496669746609947E-2</v>
      </c>
      <c r="K5" s="8">
        <f t="shared" ref="K5" si="8">(8.1*(G5^0.475))/100</f>
        <v>3.5191488827134146E-2</v>
      </c>
      <c r="L5" s="8">
        <f t="shared" ref="L5" si="9">(5.9*(G5^0.305))/100</f>
        <v>3.4544545620361571E-2</v>
      </c>
      <c r="M5" s="8">
        <f t="shared" si="4"/>
        <v>0.16957460862000689</v>
      </c>
      <c r="N5">
        <f>0.2*(G5^0.33333)</f>
        <v>0.11142026852222914</v>
      </c>
      <c r="O5" s="2"/>
      <c r="S5" s="2"/>
      <c r="T5" t="s">
        <v>133</v>
      </c>
      <c r="U5" t="s">
        <v>32</v>
      </c>
    </row>
    <row r="6" spans="1:23" x14ac:dyDescent="0.2">
      <c r="A6" t="s">
        <v>41</v>
      </c>
      <c r="B6">
        <v>2004</v>
      </c>
      <c r="F6" t="s">
        <v>42</v>
      </c>
      <c r="G6"/>
      <c r="H6"/>
      <c r="L6" s="8"/>
      <c r="M6" s="8"/>
      <c r="S6" s="2"/>
      <c r="T6" t="s">
        <v>133</v>
      </c>
      <c r="U6" t="s">
        <v>59</v>
      </c>
    </row>
    <row r="7" spans="1:23" x14ac:dyDescent="0.2">
      <c r="A7" t="s">
        <v>45</v>
      </c>
      <c r="B7">
        <v>2012</v>
      </c>
      <c r="F7" t="s">
        <v>46</v>
      </c>
      <c r="G7">
        <f>AVERAGE(0.54,0.67)</f>
        <v>0.60499999999999998</v>
      </c>
      <c r="H7" s="2">
        <v>0.13</v>
      </c>
      <c r="I7" s="8">
        <f t="shared" ref="I7:I9" si="10">(7.6*(G7^0.32))/100</f>
        <v>6.4710582943485251E-2</v>
      </c>
      <c r="J7" s="8">
        <f t="shared" ref="J7:J9" si="11">(11.4*(G7^0.4))/100</f>
        <v>9.3241016866665166E-2</v>
      </c>
      <c r="K7" s="8">
        <f t="shared" ref="K7:K9" si="12">(8.1*(G7^0.475))/100</f>
        <v>6.3799727215378257E-2</v>
      </c>
      <c r="L7" s="8">
        <f t="shared" ref="L7:L9" si="13">(5.9*(G7^0.305))/100</f>
        <v>5.0615950987082624E-2</v>
      </c>
      <c r="M7" s="8">
        <f t="shared" ref="M7:M12" si="14">SUM(I7:L7)</f>
        <v>0.27236727801261129</v>
      </c>
      <c r="N7" s="2">
        <f t="shared" ref="N7:N13" si="15">0.2*(G7^0.33333)</f>
        <v>0.16915409451029231</v>
      </c>
      <c r="O7" s="2">
        <f t="shared" si="5"/>
        <v>0.4772966890464011</v>
      </c>
      <c r="P7" s="2"/>
      <c r="Q7" s="2"/>
      <c r="R7">
        <v>1.9038480349633136</v>
      </c>
      <c r="S7" s="2"/>
      <c r="T7" t="s">
        <v>133</v>
      </c>
      <c r="U7" t="s">
        <v>49</v>
      </c>
    </row>
    <row r="8" spans="1:23" x14ac:dyDescent="0.2">
      <c r="A8" t="s">
        <v>45</v>
      </c>
      <c r="B8">
        <v>2012</v>
      </c>
      <c r="F8" t="s">
        <v>47</v>
      </c>
      <c r="G8">
        <f>AVERAGE(0.27,0.29)</f>
        <v>0.28000000000000003</v>
      </c>
      <c r="H8" s="2">
        <v>0.09</v>
      </c>
      <c r="I8" s="8">
        <f t="shared" si="10"/>
        <v>5.0571305174650839E-2</v>
      </c>
      <c r="J8" s="8">
        <f t="shared" si="11"/>
        <v>6.851222373740494E-2</v>
      </c>
      <c r="K8" s="8">
        <f t="shared" si="12"/>
        <v>4.4247127702151952E-2</v>
      </c>
      <c r="L8" s="8">
        <f t="shared" si="13"/>
        <v>4.0016141602769922E-2</v>
      </c>
      <c r="M8" s="8">
        <f t="shared" si="14"/>
        <v>0.20334679821697765</v>
      </c>
      <c r="N8" s="2">
        <f t="shared" si="15"/>
        <v>0.13084320760273968</v>
      </c>
      <c r="O8" s="2">
        <f t="shared" si="5"/>
        <v>0.44259364194152234</v>
      </c>
      <c r="P8" s="2"/>
      <c r="Q8" s="2"/>
      <c r="R8">
        <v>1.2771017136282019</v>
      </c>
      <c r="S8" s="2"/>
      <c r="T8" t="s">
        <v>133</v>
      </c>
      <c r="U8" t="s">
        <v>135</v>
      </c>
    </row>
    <row r="9" spans="1:23" x14ac:dyDescent="0.2">
      <c r="A9" t="s">
        <v>45</v>
      </c>
      <c r="B9">
        <v>2012</v>
      </c>
      <c r="F9" t="s">
        <v>48</v>
      </c>
      <c r="G9" s="2">
        <v>0.24</v>
      </c>
      <c r="H9" s="2">
        <v>0.11</v>
      </c>
      <c r="I9" s="8">
        <f t="shared" si="10"/>
        <v>4.8137240411551187E-2</v>
      </c>
      <c r="J9" s="8">
        <f t="shared" si="11"/>
        <v>6.4415346611280677E-2</v>
      </c>
      <c r="K9" s="8">
        <f t="shared" si="12"/>
        <v>4.1123053873602364E-2</v>
      </c>
      <c r="L9" s="8">
        <f t="shared" si="13"/>
        <v>3.8178287174345432E-2</v>
      </c>
      <c r="M9" s="8">
        <f t="shared" si="14"/>
        <v>0.19185392807077964</v>
      </c>
      <c r="N9" s="2">
        <f t="shared" si="15"/>
        <v>0.124289891490538</v>
      </c>
      <c r="O9" s="2">
        <f t="shared" si="5"/>
        <v>0.5733528685397481</v>
      </c>
      <c r="P9" s="2"/>
      <c r="Q9" s="2"/>
      <c r="R9">
        <v>1.1551819645158155</v>
      </c>
      <c r="S9" s="2"/>
      <c r="T9" t="s">
        <v>133</v>
      </c>
      <c r="U9" t="s">
        <v>135</v>
      </c>
    </row>
    <row r="10" spans="1:23" x14ac:dyDescent="0.2">
      <c r="A10" t="s">
        <v>25</v>
      </c>
      <c r="B10">
        <v>2008</v>
      </c>
      <c r="F10" t="s">
        <v>61</v>
      </c>
      <c r="G10">
        <v>3.61</v>
      </c>
      <c r="H10">
        <v>0.16300000000000001</v>
      </c>
      <c r="I10" s="8">
        <f t="shared" ref="I10:I12" si="16">(7.6*(G10^0.32))/100</f>
        <v>0.11460825415092185</v>
      </c>
      <c r="J10" s="8">
        <f t="shared" ref="J10:J12" si="17">(11.4*(G10^0.4))/100</f>
        <v>0.1905055936889801</v>
      </c>
      <c r="K10" s="8">
        <f t="shared" ref="K10:K12" si="18">(8.1*(G10^0.475))/100</f>
        <v>0.1490393472424284</v>
      </c>
      <c r="L10" s="8">
        <f t="shared" ref="L10:L12" si="19">(5.9*(G10^0.305))/100</f>
        <v>8.7275371921440317E-2</v>
      </c>
      <c r="M10" s="8">
        <f t="shared" si="14"/>
        <v>0.54142856700377062</v>
      </c>
      <c r="N10" s="2">
        <f t="shared" si="15"/>
        <v>0.30680601604208313</v>
      </c>
      <c r="O10" s="2">
        <f t="shared" si="5"/>
        <v>0.30105541143133818</v>
      </c>
      <c r="P10" s="2"/>
      <c r="Q10" s="2"/>
      <c r="S10" s="2"/>
      <c r="T10" t="s">
        <v>133</v>
      </c>
      <c r="U10" t="s">
        <v>136</v>
      </c>
      <c r="V10" s="2"/>
      <c r="W10" s="2"/>
    </row>
    <row r="11" spans="1:23" x14ac:dyDescent="0.2">
      <c r="A11" t="s">
        <v>25</v>
      </c>
      <c r="B11">
        <v>2008</v>
      </c>
      <c r="F11" t="s">
        <v>11</v>
      </c>
      <c r="G11">
        <v>1.81</v>
      </c>
      <c r="H11">
        <v>0.16500000000000001</v>
      </c>
      <c r="I11" s="8">
        <f t="shared" si="16"/>
        <v>9.1890525728306985E-2</v>
      </c>
      <c r="J11" s="8">
        <f t="shared" si="17"/>
        <v>0.14453608311313279</v>
      </c>
      <c r="K11" s="8">
        <f t="shared" si="18"/>
        <v>0.10736984890188271</v>
      </c>
      <c r="L11" s="8">
        <f t="shared" si="19"/>
        <v>7.0703998821155356E-2</v>
      </c>
      <c r="M11" s="8">
        <f t="shared" si="14"/>
        <v>0.41450045656447787</v>
      </c>
      <c r="N11" s="2">
        <f t="shared" si="15"/>
        <v>0.24373729949497527</v>
      </c>
      <c r="O11" s="2">
        <f t="shared" si="5"/>
        <v>0.39806952534522316</v>
      </c>
      <c r="P11" s="2"/>
      <c r="Q11" s="2"/>
      <c r="S11" s="2"/>
      <c r="T11" t="s">
        <v>132</v>
      </c>
      <c r="U11" t="s">
        <v>137</v>
      </c>
      <c r="V11" s="2"/>
      <c r="W11" s="2"/>
    </row>
    <row r="12" spans="1:23" x14ac:dyDescent="0.2">
      <c r="A12" t="s">
        <v>25</v>
      </c>
      <c r="B12">
        <v>2008</v>
      </c>
      <c r="F12" t="s">
        <v>26</v>
      </c>
      <c r="G12">
        <v>1.1200000000000001</v>
      </c>
      <c r="H12">
        <v>0.115</v>
      </c>
      <c r="I12" s="8">
        <f t="shared" si="16"/>
        <v>7.8806739478579357E-2</v>
      </c>
      <c r="J12" s="8">
        <f t="shared" si="17"/>
        <v>0.11928670993453594</v>
      </c>
      <c r="K12" s="8">
        <f t="shared" si="18"/>
        <v>8.5479816196170996E-2</v>
      </c>
      <c r="L12" s="8">
        <f t="shared" si="19"/>
        <v>6.1075004628297347E-2</v>
      </c>
      <c r="M12" s="8">
        <f t="shared" si="14"/>
        <v>0.34464827023758365</v>
      </c>
      <c r="N12" s="2">
        <f t="shared" si="15"/>
        <v>0.20769968561292168</v>
      </c>
      <c r="O12" s="2">
        <f t="shared" si="5"/>
        <v>0.33367351567069997</v>
      </c>
      <c r="P12" s="2"/>
      <c r="Q12" s="2"/>
      <c r="S12" s="2"/>
      <c r="T12" t="s">
        <v>139</v>
      </c>
      <c r="U12" t="s">
        <v>136</v>
      </c>
      <c r="V12" s="2"/>
      <c r="W12" s="2"/>
    </row>
    <row r="13" spans="1:23" x14ac:dyDescent="0.2">
      <c r="A13" t="s">
        <v>18</v>
      </c>
      <c r="B13">
        <v>2016</v>
      </c>
      <c r="F13" t="s">
        <v>8</v>
      </c>
      <c r="G13">
        <v>110.97</v>
      </c>
      <c r="H13">
        <v>1.26</v>
      </c>
      <c r="I13">
        <v>0.33200000000000002</v>
      </c>
      <c r="J13">
        <v>0.626</v>
      </c>
      <c r="K13">
        <v>0.442</v>
      </c>
      <c r="L13">
        <v>0.13849999999999998</v>
      </c>
      <c r="M13" s="8">
        <f>SUM(I13:L13)</f>
        <v>1.5385</v>
      </c>
      <c r="N13" s="2">
        <f t="shared" si="15"/>
        <v>0.96107741956352799</v>
      </c>
      <c r="O13" s="2">
        <f t="shared" si="5"/>
        <v>0.81897952551186226</v>
      </c>
      <c r="P13" s="2"/>
      <c r="Q13" s="2"/>
      <c r="S13" s="2"/>
      <c r="T13" t="s">
        <v>132</v>
      </c>
      <c r="U13" t="s">
        <v>138</v>
      </c>
      <c r="V13" s="2"/>
      <c r="W13" s="2"/>
    </row>
    <row r="14" spans="1:23" x14ac:dyDescent="0.2">
      <c r="A14" t="s">
        <v>51</v>
      </c>
      <c r="B14">
        <v>1991</v>
      </c>
      <c r="C14" t="s">
        <v>88</v>
      </c>
      <c r="F14" t="s">
        <v>53</v>
      </c>
      <c r="G14" s="8">
        <v>4.4999999999999998E-2</v>
      </c>
      <c r="H14" s="8">
        <v>5.1999999999999998E-2</v>
      </c>
      <c r="I14" s="8">
        <v>2.5999999999999999E-2</v>
      </c>
      <c r="J14" s="8">
        <v>3.1E-2</v>
      </c>
      <c r="K14" s="8">
        <v>1.9E-2</v>
      </c>
      <c r="L14" s="8">
        <v>1.9E-2</v>
      </c>
      <c r="M14" s="8">
        <f t="shared" ref="M14:M17" si="20">SUM(I14:L14)</f>
        <v>9.5000000000000001E-2</v>
      </c>
      <c r="N14" s="2">
        <f>0.2*(G14^0.33333)</f>
        <v>7.1138601444013821E-2</v>
      </c>
      <c r="O14" s="2">
        <f t="shared" si="5"/>
        <v>0.5473684210526315</v>
      </c>
      <c r="P14" s="2"/>
      <c r="Q14" s="2"/>
      <c r="R14" s="2">
        <v>2.1393762918699744</v>
      </c>
      <c r="S14" s="2"/>
      <c r="T14" s="2" t="s">
        <v>132</v>
      </c>
      <c r="U14" t="s">
        <v>94</v>
      </c>
    </row>
    <row r="15" spans="1:23" x14ac:dyDescent="0.2">
      <c r="A15" t="s">
        <v>51</v>
      </c>
      <c r="B15">
        <v>1991</v>
      </c>
      <c r="C15" t="s">
        <v>73</v>
      </c>
      <c r="F15" t="s">
        <v>14</v>
      </c>
      <c r="G15" s="8">
        <v>1.52</v>
      </c>
      <c r="H15" s="8">
        <v>0.20300000000000001</v>
      </c>
      <c r="I15" s="8">
        <v>7.2999999999999995E-2</v>
      </c>
      <c r="J15" s="8">
        <v>0.105</v>
      </c>
      <c r="K15" s="8">
        <v>6.3E-2</v>
      </c>
      <c r="L15" s="8">
        <v>5.8000000000000003E-2</v>
      </c>
      <c r="M15" s="8">
        <f t="shared" si="20"/>
        <v>0.29899999999999999</v>
      </c>
      <c r="N15" s="2">
        <f>0.2*(G15^0.33333)</f>
        <v>0.22995556220833444</v>
      </c>
      <c r="O15" s="2">
        <f t="shared" si="5"/>
        <v>0.67892976588628773</v>
      </c>
      <c r="P15" s="2"/>
      <c r="Q15" s="2"/>
      <c r="R15" s="2">
        <v>1.7644803427413012</v>
      </c>
      <c r="S15" s="2"/>
      <c r="T15" s="2" t="s">
        <v>133</v>
      </c>
      <c r="U15" t="s">
        <v>95</v>
      </c>
    </row>
    <row r="16" spans="1:23" x14ac:dyDescent="0.2">
      <c r="A16" t="s">
        <v>51</v>
      </c>
      <c r="B16">
        <v>1991</v>
      </c>
      <c r="C16" t="s">
        <v>72</v>
      </c>
      <c r="F16" t="s">
        <v>7</v>
      </c>
      <c r="G16" s="8">
        <v>40</v>
      </c>
      <c r="H16" s="8">
        <v>0.81599999999999995</v>
      </c>
      <c r="I16" s="8">
        <v>0.183</v>
      </c>
      <c r="J16" s="8">
        <v>0.375</v>
      </c>
      <c r="K16" s="8">
        <v>0.32700000000000001</v>
      </c>
      <c r="L16" s="8">
        <v>0.14399999999999999</v>
      </c>
      <c r="M16" s="8">
        <f>SUM(I16:K16)</f>
        <v>0.88500000000000001</v>
      </c>
      <c r="N16" s="2">
        <f>0.2*(G16^0.33333)</f>
        <v>0.68398196819553869</v>
      </c>
      <c r="O16" s="2">
        <f t="shared" si="5"/>
        <v>0.92203389830508464</v>
      </c>
      <c r="P16" s="2"/>
      <c r="Q16" s="2"/>
      <c r="R16" s="2"/>
      <c r="S16" s="2"/>
      <c r="T16" s="2" t="s">
        <v>133</v>
      </c>
      <c r="U16" t="s">
        <v>140</v>
      </c>
    </row>
    <row r="17" spans="1:21" x14ac:dyDescent="0.2">
      <c r="A17" t="s">
        <v>102</v>
      </c>
      <c r="B17">
        <v>2015</v>
      </c>
      <c r="C17" t="s">
        <v>103</v>
      </c>
      <c r="F17" t="s">
        <v>104</v>
      </c>
      <c r="G17">
        <v>11.7</v>
      </c>
      <c r="H17"/>
      <c r="I17" s="8">
        <v>0.10395</v>
      </c>
      <c r="J17" s="8">
        <v>0.17299999999999999</v>
      </c>
      <c r="K17" s="8">
        <v>4.4950000000000004E-2</v>
      </c>
      <c r="L17" s="8">
        <f>(5.9*(G17^0.305))/100</f>
        <v>0.12492481054208456</v>
      </c>
      <c r="M17" s="8">
        <f t="shared" si="20"/>
        <v>0.44682481054208451</v>
      </c>
      <c r="N17" s="8">
        <f>SUM(J17:L17)</f>
        <v>0.34287481054208452</v>
      </c>
      <c r="O17" s="2"/>
      <c r="P17" s="8"/>
      <c r="Q17" s="8"/>
      <c r="S17" s="2"/>
      <c r="T17" s="2" t="s">
        <v>133</v>
      </c>
      <c r="U17" t="s">
        <v>127</v>
      </c>
    </row>
    <row r="18" spans="1:21" x14ac:dyDescent="0.2">
      <c r="A18" t="s">
        <v>126</v>
      </c>
      <c r="B18">
        <v>2000</v>
      </c>
      <c r="C18" t="s">
        <v>93</v>
      </c>
      <c r="D18" t="s">
        <v>117</v>
      </c>
      <c r="E18" t="s">
        <v>111</v>
      </c>
      <c r="F18" t="s">
        <v>92</v>
      </c>
      <c r="G18">
        <f>AVERAGE(0.118,0.122,0.125,0.128)</f>
        <v>0.12325</v>
      </c>
      <c r="H18">
        <v>9.2999999999999999E-2</v>
      </c>
      <c r="I18">
        <v>3.4450000000000001E-2</v>
      </c>
      <c r="J18">
        <v>4.3150000000000008E-2</v>
      </c>
      <c r="K18">
        <v>2.615E-2</v>
      </c>
      <c r="L18" s="8">
        <f>(5.9*(G18^0.305))/100</f>
        <v>3.1156023638063655E-2</v>
      </c>
      <c r="M18" s="8">
        <f t="shared" ref="M18:M23" si="21">SUM(I18:K18)</f>
        <v>0.10375000000000001</v>
      </c>
      <c r="N18" s="2">
        <f t="shared" ref="N18:N23" si="22">0.2*(G18^0.33333)</f>
        <v>9.9531833034862668E-2</v>
      </c>
      <c r="O18" s="2">
        <f t="shared" si="5"/>
        <v>0.89638554216867461</v>
      </c>
      <c r="P18" s="2">
        <f t="shared" ref="P18:P23" si="23">0.2004*(G18^0.4069)</f>
        <v>8.5494645954875784E-2</v>
      </c>
      <c r="Q18" s="2">
        <f t="shared" ref="Q18:Q23" si="24">(0.9553*M18)- 0.0381</f>
        <v>6.1012375000000015E-2</v>
      </c>
      <c r="T18" s="2" t="s">
        <v>133</v>
      </c>
      <c r="U18" t="s">
        <v>127</v>
      </c>
    </row>
    <row r="19" spans="1:21" x14ac:dyDescent="0.2">
      <c r="A19" t="s">
        <v>51</v>
      </c>
      <c r="B19">
        <v>1991</v>
      </c>
      <c r="C19" t="s">
        <v>85</v>
      </c>
      <c r="D19" t="s">
        <v>117</v>
      </c>
      <c r="E19" t="s">
        <v>111</v>
      </c>
      <c r="F19" t="s">
        <v>33</v>
      </c>
      <c r="G19" s="8">
        <v>0.17</v>
      </c>
      <c r="H19" s="8">
        <v>0.1</v>
      </c>
      <c r="I19" s="8">
        <v>3.6999999999999998E-2</v>
      </c>
      <c r="J19" s="8">
        <v>0.05</v>
      </c>
      <c r="K19" s="8">
        <v>3.1E-2</v>
      </c>
      <c r="L19" s="8">
        <v>3.2000000000000001E-2</v>
      </c>
      <c r="M19" s="8">
        <f t="shared" si="21"/>
        <v>0.11799999999999999</v>
      </c>
      <c r="N19" s="2">
        <f t="shared" si="22"/>
        <v>0.1107938195393786</v>
      </c>
      <c r="O19" s="2">
        <f>H19/M19</f>
        <v>0.84745762711864414</v>
      </c>
      <c r="P19" s="2">
        <f t="shared" si="23"/>
        <v>9.7446755385620781E-2</v>
      </c>
      <c r="Q19" s="2">
        <f t="shared" si="24"/>
        <v>7.4625400000000008E-2</v>
      </c>
      <c r="T19" s="2" t="s">
        <v>133</v>
      </c>
      <c r="U19" t="s">
        <v>127</v>
      </c>
    </row>
    <row r="20" spans="1:21" x14ac:dyDescent="0.2">
      <c r="A20" t="s">
        <v>19</v>
      </c>
      <c r="B20">
        <v>2004</v>
      </c>
      <c r="C20" t="s">
        <v>75</v>
      </c>
      <c r="D20" t="s">
        <v>117</v>
      </c>
      <c r="E20" t="s">
        <v>129</v>
      </c>
      <c r="F20" t="s">
        <v>8</v>
      </c>
      <c r="G20">
        <v>68.5</v>
      </c>
      <c r="H20">
        <v>0.83799999999999997</v>
      </c>
      <c r="I20" s="8">
        <v>0.2208063492063492</v>
      </c>
      <c r="J20" s="8">
        <v>0.41633968253968251</v>
      </c>
      <c r="K20" s="8">
        <v>0.29396507936507937</v>
      </c>
      <c r="L20" s="8">
        <v>9.211349206349205E-2</v>
      </c>
      <c r="M20" s="8">
        <f t="shared" si="21"/>
        <v>0.931111111111111</v>
      </c>
      <c r="N20" s="2">
        <f t="shared" si="22"/>
        <v>0.81831541800144825</v>
      </c>
      <c r="O20" s="2">
        <f t="shared" si="5"/>
        <v>0.9</v>
      </c>
      <c r="P20" s="2">
        <f t="shared" si="23"/>
        <v>1.1190260862624253</v>
      </c>
      <c r="Q20" s="2">
        <f t="shared" si="24"/>
        <v>0.85139044444444434</v>
      </c>
      <c r="R20" s="2">
        <v>2.2139448877775498</v>
      </c>
      <c r="T20" s="2" t="s">
        <v>133</v>
      </c>
      <c r="U20" t="s">
        <v>134</v>
      </c>
    </row>
    <row r="21" spans="1:21" x14ac:dyDescent="0.2">
      <c r="A21" t="s">
        <v>4</v>
      </c>
      <c r="B21">
        <v>2001</v>
      </c>
      <c r="C21" t="s">
        <v>70</v>
      </c>
      <c r="D21" t="s">
        <v>117</v>
      </c>
      <c r="E21" t="s">
        <v>129</v>
      </c>
      <c r="F21" t="s">
        <v>5</v>
      </c>
      <c r="G21">
        <v>1.35</v>
      </c>
      <c r="H21">
        <v>0.23</v>
      </c>
      <c r="I21">
        <v>9.1999999999999998E-2</v>
      </c>
      <c r="J21">
        <v>0.122</v>
      </c>
      <c r="K21">
        <v>6.7000000000000004E-2</v>
      </c>
      <c r="L21">
        <v>5.8000000000000003E-2</v>
      </c>
      <c r="M21" s="8">
        <f t="shared" si="21"/>
        <v>0.28100000000000003</v>
      </c>
      <c r="N21" s="2">
        <f t="shared" si="22"/>
        <v>0.22104166879957951</v>
      </c>
      <c r="O21" s="2">
        <f t="shared" si="5"/>
        <v>0.81850533807829173</v>
      </c>
      <c r="P21" s="2">
        <f t="shared" si="23"/>
        <v>0.22642820701985825</v>
      </c>
      <c r="Q21" s="2">
        <f t="shared" si="24"/>
        <v>0.23033930000000005</v>
      </c>
      <c r="R21" s="34">
        <v>0.69475220724284403</v>
      </c>
      <c r="T21" s="2" t="s">
        <v>133</v>
      </c>
      <c r="U21" t="s">
        <v>142</v>
      </c>
    </row>
    <row r="22" spans="1:21" x14ac:dyDescent="0.2">
      <c r="A22" s="15" t="s">
        <v>4</v>
      </c>
      <c r="B22" s="15">
        <v>2005</v>
      </c>
      <c r="C22" s="15" t="s">
        <v>82</v>
      </c>
      <c r="D22" t="s">
        <v>117</v>
      </c>
      <c r="E22" t="s">
        <v>128</v>
      </c>
      <c r="F22" s="15" t="s">
        <v>38</v>
      </c>
      <c r="G22" s="34">
        <v>1.3</v>
      </c>
      <c r="H22" s="34">
        <v>0.23</v>
      </c>
      <c r="I22" s="8">
        <v>7.3445000000000024E-2</v>
      </c>
      <c r="J22" s="8">
        <v>0.108733</v>
      </c>
      <c r="K22" s="8">
        <v>7.1069000000000007E-2</v>
      </c>
      <c r="L22" s="8">
        <f>(5.9*(G22^0.305))/100</f>
        <v>6.391528563347007E-2</v>
      </c>
      <c r="M22" s="8">
        <f t="shared" si="21"/>
        <v>0.253247</v>
      </c>
      <c r="N22" s="2">
        <f t="shared" si="22"/>
        <v>0.21827838571731065</v>
      </c>
      <c r="O22" s="2">
        <f t="shared" si="5"/>
        <v>0.90820424328817329</v>
      </c>
      <c r="P22" s="2">
        <f t="shared" si="23"/>
        <v>0.22297761570613861</v>
      </c>
      <c r="Q22" s="2">
        <f t="shared" si="24"/>
        <v>0.20382685910000001</v>
      </c>
      <c r="R22" s="2">
        <v>0.68837181459750396</v>
      </c>
      <c r="T22" s="2" t="s">
        <v>133</v>
      </c>
      <c r="U22" t="s">
        <v>142</v>
      </c>
    </row>
    <row r="23" spans="1:21" x14ac:dyDescent="0.2">
      <c r="A23" t="s">
        <v>4</v>
      </c>
      <c r="B23">
        <v>2001</v>
      </c>
      <c r="C23" t="s">
        <v>69</v>
      </c>
      <c r="D23" t="s">
        <v>118</v>
      </c>
      <c r="E23" t="s">
        <v>112</v>
      </c>
      <c r="F23" t="s">
        <v>11</v>
      </c>
      <c r="G23">
        <v>0.93</v>
      </c>
      <c r="H23">
        <v>0.14000000000000001</v>
      </c>
      <c r="I23">
        <v>7.4219499634778432E-2</v>
      </c>
      <c r="J23">
        <v>0.11084554884510479</v>
      </c>
      <c r="K23">
        <v>7.8473418698110628E-2</v>
      </c>
      <c r="L23" s="8">
        <v>5.7708436880504491E-2</v>
      </c>
      <c r="M23" s="8">
        <f t="shared" si="21"/>
        <v>0.26353846717799384</v>
      </c>
      <c r="N23" s="2">
        <f t="shared" si="22"/>
        <v>0.19522004875787646</v>
      </c>
      <c r="O23" s="2">
        <f>H23/M23</f>
        <v>0.53123174578322196</v>
      </c>
      <c r="P23" s="2">
        <f t="shared" si="23"/>
        <v>0.1945689023973278</v>
      </c>
      <c r="Q23" s="2">
        <f t="shared" si="24"/>
        <v>0.21365829769513753</v>
      </c>
      <c r="R23" s="2">
        <v>0.438407163371902</v>
      </c>
      <c r="T23" s="2" t="s">
        <v>133</v>
      </c>
      <c r="U23" t="s">
        <v>142</v>
      </c>
    </row>
    <row r="26" spans="1:21" x14ac:dyDescent="0.2">
      <c r="A26" t="s">
        <v>64</v>
      </c>
    </row>
    <row r="27" spans="1:21" x14ac:dyDescent="0.2">
      <c r="B27" t="s">
        <v>62</v>
      </c>
      <c r="D27" t="s">
        <v>63</v>
      </c>
    </row>
    <row r="28" spans="1:21" ht="18" x14ac:dyDescent="0.2">
      <c r="B28">
        <v>0.51</v>
      </c>
      <c r="D28">
        <v>0.125</v>
      </c>
      <c r="I28" s="35"/>
    </row>
    <row r="29" spans="1:21" x14ac:dyDescent="0.2">
      <c r="E29">
        <f>0.51+(0.125*(LOG(1)))</f>
        <v>0.51</v>
      </c>
    </row>
    <row r="32" spans="1:21" x14ac:dyDescent="0.2">
      <c r="A32" t="s">
        <v>144</v>
      </c>
      <c r="B32" t="s">
        <v>147</v>
      </c>
    </row>
    <row r="33" spans="1:9" x14ac:dyDescent="0.2">
      <c r="B33" t="s">
        <v>148</v>
      </c>
    </row>
    <row r="34" spans="1:9" x14ac:dyDescent="0.2">
      <c r="B34" s="1" t="s">
        <v>1</v>
      </c>
      <c r="C34" s="1" t="s">
        <v>2</v>
      </c>
      <c r="D34" s="10" t="s">
        <v>54</v>
      </c>
      <c r="E34" s="10" t="s">
        <v>55</v>
      </c>
      <c r="F34" s="10" t="s">
        <v>56</v>
      </c>
      <c r="G34" s="10" t="s">
        <v>57</v>
      </c>
      <c r="H34" s="10" t="s">
        <v>52</v>
      </c>
      <c r="I34" s="7"/>
    </row>
    <row r="35" spans="1:9" x14ac:dyDescent="0.2">
      <c r="A35" t="s">
        <v>51</v>
      </c>
      <c r="B35" s="8">
        <v>0.17</v>
      </c>
      <c r="C35" s="8">
        <v>0.1</v>
      </c>
      <c r="D35" s="8">
        <v>3.6999999999999998E-2</v>
      </c>
      <c r="E35" s="8">
        <v>0.05</v>
      </c>
      <c r="F35" s="8">
        <v>3.1E-2</v>
      </c>
      <c r="G35" s="8">
        <v>3.2000000000000001E-2</v>
      </c>
      <c r="H35" s="8">
        <f>SUM(D35:F35)</f>
        <v>0.11799999999999999</v>
      </c>
      <c r="I35" s="2"/>
    </row>
    <row r="36" spans="1:9" x14ac:dyDescent="0.2">
      <c r="A36" t="s">
        <v>146</v>
      </c>
      <c r="B36" s="2">
        <v>0.20269999999999999</v>
      </c>
      <c r="C36">
        <v>7.0000000000000007E-2</v>
      </c>
      <c r="D36">
        <v>5.8571428571428566E-2</v>
      </c>
      <c r="E36">
        <v>6.6285714285714295E-2</v>
      </c>
      <c r="F36">
        <v>3.8642857142857145E-2</v>
      </c>
      <c r="G36">
        <v>3.2285714285714286E-2</v>
      </c>
      <c r="H36" s="8">
        <f>SUM(D36:F36)</f>
        <v>0.16350000000000001</v>
      </c>
      <c r="I36" s="2"/>
    </row>
    <row r="37" spans="1:9" x14ac:dyDescent="0.2">
      <c r="B37" s="8">
        <f t="shared" ref="B37:H37" si="25">AVERAGE(B35:B36)</f>
        <v>0.18635000000000002</v>
      </c>
      <c r="C37" s="8">
        <f t="shared" si="25"/>
        <v>8.5000000000000006E-2</v>
      </c>
      <c r="D37" s="8">
        <f t="shared" si="25"/>
        <v>4.7785714285714279E-2</v>
      </c>
      <c r="E37" s="8">
        <f t="shared" si="25"/>
        <v>5.8142857142857149E-2</v>
      </c>
      <c r="F37" s="8">
        <f t="shared" si="25"/>
        <v>3.4821428571428573E-2</v>
      </c>
      <c r="G37" s="8">
        <f t="shared" si="25"/>
        <v>3.214285714285714E-2</v>
      </c>
      <c r="H37" s="8">
        <f t="shared" si="25"/>
        <v>0.14074999999999999</v>
      </c>
      <c r="I37" s="2"/>
    </row>
    <row r="39" spans="1:9" x14ac:dyDescent="0.2">
      <c r="A39" t="s">
        <v>149</v>
      </c>
    </row>
    <row r="40" spans="1:9" x14ac:dyDescent="0.2">
      <c r="A40" t="s">
        <v>150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SummaryData</vt:lpstr>
      <vt:lpstr>SortedByGroup</vt:lpstr>
      <vt:lpstr>Notes_on_ExcludedStudies</vt:lpstr>
      <vt:lpstr>SortedByGroup!Print_Area</vt:lpstr>
    </vt:vector>
  </TitlesOfParts>
  <Company>the Royal Veterinary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daley</dc:creator>
  <cp:lastModifiedBy>Monica Daley</cp:lastModifiedBy>
  <cp:lastPrinted>2017-06-13T08:02:36Z</cp:lastPrinted>
  <dcterms:created xsi:type="dcterms:W3CDTF">2017-04-19T11:07:21Z</dcterms:created>
  <dcterms:modified xsi:type="dcterms:W3CDTF">2025-06-05T15:05:11Z</dcterms:modified>
</cp:coreProperties>
</file>